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\Documents\Carpetas ALE\4 - Upwork\StevenPalmieri\9-23 job\"/>
    </mc:Choice>
  </mc:AlternateContent>
  <xr:revisionPtr revIDLastSave="0" documentId="13_ncr:1_{5C5BBD18-AC5D-49BA-BF13-737773C7480B}" xr6:coauthVersionLast="47" xr6:coauthVersionMax="47" xr10:uidLastSave="{00000000-0000-0000-0000-000000000000}"/>
  <bookViews>
    <workbookView xWindow="-108" yWindow="-108" windowWidth="23256" windowHeight="12720" tabRatio="823" xr2:uid="{13CA1011-C7A1-427E-8571-784915671495}"/>
  </bookViews>
  <sheets>
    <sheet name="Home" sheetId="11" r:id="rId1"/>
    <sheet name="Inpt_Palms" sheetId="9" state="hidden" r:id="rId2"/>
    <sheet name="Inpt_Member" sheetId="10" state="hidden" r:id="rId3"/>
    <sheet name="Inpt_TYFCB" sheetId="8" state="hidden" r:id="rId4"/>
    <sheet name="Inpt_Referral" sheetId="7" state="hidden" r:id="rId5"/>
    <sheet name="Inpt_1to1" sheetId="6" state="hidden" r:id="rId6"/>
    <sheet name="Tbl_Palms" sheetId="2" state="hidden" r:id="rId7"/>
    <sheet name="Tbl_Member" sheetId="1" state="hidden" r:id="rId8"/>
    <sheet name="Tbl_TYFCB" sheetId="3" state="hidden" r:id="rId9"/>
    <sheet name="Tbl_Referral" sheetId="4" state="hidden" r:id="rId10"/>
    <sheet name="Tbl_1to1" sheetId="5" state="hidden" r:id="rId11"/>
    <sheet name="Memory" sheetId="12" state="hidden" r:id="rId12"/>
  </sheets>
  <functionGroups builtInGroupCount="19"/>
  <definedNames>
    <definedName name="_xlcn.WorksheetConnection_Palms_tool.xlsmTable31" hidden="1">tbl_tyfcb[]</definedName>
    <definedName name="mactive">OFFSET(Tbl_Member!$J$2,0,0,COUNTA(Tbl_Member!$J:$J)-1,1)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3" name="Tbl_TYFCB" connection="WorksheetConnection_Palms_tool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1" l="1" a="1"/>
  <c r="N2" i="1" s="1"/>
  <c r="L2" i="1" a="1"/>
  <c r="L2" i="1" s="1"/>
  <c r="K2" i="1" a="1"/>
  <c r="K2" i="1" s="1"/>
  <c r="J2" i="1" a="1"/>
  <c r="J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Gizzi, Alejandro M.</author>
  </authors>
  <commentList>
    <comment ref="D6" authorId="0" shapeId="0" xr:uid="{0C5658E5-B1ED-4115-A447-2EE0843A72B4}">
      <text>
        <r>
          <rPr>
            <sz val="9"/>
            <color indexed="81"/>
            <rFont val="Tahoma"/>
            <family val="2"/>
          </rPr>
          <t>Present</t>
        </r>
      </text>
    </comment>
    <comment ref="E6" authorId="0" shapeId="0" xr:uid="{73EFFBE4-0402-452C-ACDF-58F90082EB89}">
      <text>
        <r>
          <rPr>
            <sz val="9"/>
            <color indexed="81"/>
            <rFont val="Tahoma"/>
            <family val="2"/>
          </rPr>
          <t>Absent</t>
        </r>
      </text>
    </comment>
    <comment ref="F6" authorId="0" shapeId="0" xr:uid="{ABC80FBB-1C6C-4031-8567-77A4C44BBADC}">
      <text>
        <r>
          <rPr>
            <sz val="9"/>
            <color indexed="81"/>
            <rFont val="Tahoma"/>
            <family val="2"/>
          </rPr>
          <t>Late</t>
        </r>
      </text>
    </comment>
    <comment ref="G6" authorId="0" shapeId="0" xr:uid="{3A7C6723-2361-4B8B-A19A-AC496B42F84C}">
      <text>
        <r>
          <rPr>
            <sz val="9"/>
            <color indexed="81"/>
            <rFont val="Tahoma"/>
            <family val="2"/>
          </rPr>
          <t>Medical Excused</t>
        </r>
      </text>
    </comment>
    <comment ref="H6" authorId="0" shapeId="0" xr:uid="{24E3547D-4368-4FC2-B725-D2380E6ABD62}">
      <text>
        <r>
          <rPr>
            <sz val="9"/>
            <color indexed="81"/>
            <rFont val="Tahoma"/>
            <family val="2"/>
          </rPr>
          <t>Substitute</t>
        </r>
      </text>
    </comment>
    <comment ref="I6" authorId="0" shapeId="0" xr:uid="{303400A1-CB25-48D6-9BA0-2856D45FFAE8}">
      <text>
        <r>
          <rPr>
            <sz val="9"/>
            <color indexed="81"/>
            <rFont val="Tahoma"/>
            <family val="2"/>
          </rPr>
          <t>Visitor</t>
        </r>
      </text>
    </comment>
    <comment ref="J6" authorId="0" shapeId="0" xr:uid="{44EF395B-3E6A-47AF-9E92-579ED16C729B}">
      <text>
        <r>
          <rPr>
            <sz val="9"/>
            <color indexed="81"/>
            <rFont val="Tahoma"/>
            <family val="2"/>
          </rPr>
          <t>Referral given Inside</t>
        </r>
      </text>
    </comment>
    <comment ref="K6" authorId="0" shapeId="0" xr:uid="{7998B12F-5467-465B-AC32-378CC9B53706}">
      <text>
        <r>
          <rPr>
            <sz val="9"/>
            <color indexed="81"/>
            <rFont val="Tahoma"/>
            <family val="2"/>
          </rPr>
          <t>Referral given outside</t>
        </r>
      </text>
    </comment>
    <comment ref="L6" authorId="0" shapeId="0" xr:uid="{28FEDEE7-0FB8-4C7F-BF85-05A92E9CA8B6}">
      <text>
        <r>
          <rPr>
            <sz val="9"/>
            <color indexed="81"/>
            <rFont val="Tahoma"/>
            <family val="2"/>
          </rPr>
          <t>Referral received Inside</t>
        </r>
      </text>
    </comment>
    <comment ref="M6" authorId="0" shapeId="0" xr:uid="{05FD797C-E801-4BF0-9AC5-2FD3BD312389}">
      <text>
        <r>
          <rPr>
            <sz val="9"/>
            <color indexed="81"/>
            <rFont val="Tahoma"/>
            <family val="2"/>
          </rPr>
          <t>Referral received outside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 gizzi</author>
  </authors>
  <commentList>
    <comment ref="B4" authorId="0" shapeId="0" xr:uid="{21DB16EE-5E09-4735-AE97-5D2CDB9089A7}">
      <text>
        <r>
          <rPr>
            <sz val="9"/>
            <color indexed="81"/>
            <rFont val="Tahoma"/>
            <family val="2"/>
          </rPr>
          <t>Required</t>
        </r>
      </text>
    </comment>
    <comment ref="B5" authorId="0" shapeId="0" xr:uid="{D2FE3869-AEF5-4A50-B21E-EDB86765382F}">
      <text>
        <r>
          <rPr>
            <sz val="9"/>
            <color indexed="81"/>
            <rFont val="Tahoma"/>
            <family val="2"/>
          </rPr>
          <t>Required</t>
        </r>
      </text>
    </comment>
    <comment ref="B6" authorId="0" shapeId="0" xr:uid="{71A3D96C-40C0-437E-B44D-FAE9A2E69E47}">
      <text>
        <r>
          <rPr>
            <sz val="9"/>
            <color indexed="81"/>
            <rFont val="Tahoma"/>
            <family val="2"/>
          </rPr>
          <t>Required</t>
        </r>
      </text>
    </comment>
    <comment ref="B7" authorId="0" shapeId="0" xr:uid="{DD3A3FD4-4169-424E-9153-A7D4F2EC7CF9}">
      <text>
        <r>
          <rPr>
            <sz val="9"/>
            <color indexed="81"/>
            <rFont val="Tahoma"/>
            <family val="2"/>
          </rPr>
          <t>Required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 gizzi</author>
  </authors>
  <commentList>
    <comment ref="B4" authorId="0" shapeId="0" xr:uid="{D0D5B4AF-F21E-4A37-99DC-514C2728F691}">
      <text>
        <r>
          <rPr>
            <sz val="9"/>
            <color indexed="81"/>
            <rFont val="Tahoma"/>
            <family val="2"/>
          </rPr>
          <t>Required</t>
        </r>
      </text>
    </comment>
    <comment ref="B5" authorId="0" shapeId="0" xr:uid="{19135D05-275A-471D-8768-56DD0359EFC1}">
      <text>
        <r>
          <rPr>
            <sz val="9"/>
            <color indexed="81"/>
            <rFont val="Tahoma"/>
            <family val="2"/>
          </rPr>
          <t>Required</t>
        </r>
      </text>
    </comment>
    <comment ref="B6" authorId="0" shapeId="0" xr:uid="{63C3C7F4-F358-41E4-8CD3-7FE33C608AF6}">
      <text>
        <r>
          <rPr>
            <sz val="9"/>
            <color indexed="81"/>
            <rFont val="Tahoma"/>
            <family val="2"/>
          </rPr>
          <t>Required</t>
        </r>
      </text>
    </comment>
    <comment ref="B7" authorId="0" shapeId="0" xr:uid="{39E005D8-D00B-4FBE-9DB7-3D850444B30F}">
      <text>
        <r>
          <rPr>
            <sz val="9"/>
            <color indexed="81"/>
            <rFont val="Tahoma"/>
            <family val="2"/>
          </rPr>
          <t>Required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 gizzi</author>
  </authors>
  <commentList>
    <comment ref="B4" authorId="0" shapeId="0" xr:uid="{B273824D-EF2C-401F-BE91-5AF94C257A21}">
      <text>
        <r>
          <rPr>
            <sz val="9"/>
            <color indexed="81"/>
            <rFont val="Tahoma"/>
            <family val="2"/>
          </rPr>
          <t>Required</t>
        </r>
      </text>
    </comment>
    <comment ref="B5" authorId="0" shapeId="0" xr:uid="{17F9126B-53B3-4A7F-91DE-C503511E2A29}">
      <text>
        <r>
          <rPr>
            <sz val="9"/>
            <color indexed="81"/>
            <rFont val="Tahoma"/>
            <family val="2"/>
          </rPr>
          <t>Required</t>
        </r>
      </text>
    </comment>
    <comment ref="B6" authorId="0" shapeId="0" xr:uid="{8B67DDD5-414D-4024-9BFE-AFAAFA991B6A}">
      <text>
        <r>
          <rPr>
            <sz val="9"/>
            <color indexed="81"/>
            <rFont val="Tahoma"/>
            <family val="2"/>
          </rPr>
          <t>Required</t>
        </r>
      </text>
    </comment>
    <comment ref="B7" authorId="0" shapeId="0" xr:uid="{E0EED01A-BA0B-4622-B489-1A947B786121}">
      <text>
        <r>
          <rPr>
            <sz val="9"/>
            <color indexed="81"/>
            <rFont val="Tahoma"/>
            <family val="2"/>
          </rPr>
          <t>Required</t>
        </r>
      </text>
    </comment>
    <comment ref="B8" authorId="0" shapeId="0" xr:uid="{C3C8DBDD-897D-4717-B3D1-F0B67DFBEEA6}">
      <text>
        <r>
          <rPr>
            <sz val="9"/>
            <color indexed="81"/>
            <rFont val="Tahoma"/>
            <family val="2"/>
          </rPr>
          <t>Required</t>
        </r>
      </text>
    </comment>
    <comment ref="B9" authorId="0" shapeId="0" xr:uid="{01C54330-D44D-48A1-9D8C-3C77EF034917}">
      <text>
        <r>
          <rPr>
            <sz val="9"/>
            <color indexed="81"/>
            <rFont val="Tahoma"/>
            <family val="2"/>
          </rPr>
          <t>Required</t>
        </r>
      </text>
    </comment>
    <comment ref="B11" authorId="0" shapeId="0" xr:uid="{6D8586A5-7E16-419F-8867-CAB53304EDC3}">
      <text>
        <r>
          <rPr>
            <sz val="9"/>
            <color indexed="81"/>
            <rFont val="Tahoma"/>
            <family val="2"/>
          </rPr>
          <t>Required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 gizzi</author>
  </authors>
  <commentList>
    <comment ref="B4" authorId="0" shapeId="0" xr:uid="{45E14A1D-0A6F-47F8-A48F-1DFFEBF3B3D3}">
      <text>
        <r>
          <rPr>
            <sz val="9"/>
            <color indexed="81"/>
            <rFont val="Tahoma"/>
            <family val="2"/>
          </rPr>
          <t>Required</t>
        </r>
      </text>
    </comment>
    <comment ref="B5" authorId="0" shapeId="0" xr:uid="{EFB98224-C8FF-49C4-ADA4-65B64701BDB5}">
      <text>
        <r>
          <rPr>
            <sz val="9"/>
            <color indexed="81"/>
            <rFont val="Tahoma"/>
            <family val="2"/>
          </rPr>
          <t>Required</t>
        </r>
      </text>
    </comment>
    <comment ref="B6" authorId="0" shapeId="0" xr:uid="{5A07F8E5-4C1D-4317-8BF0-64E66218DD6A}">
      <text>
        <r>
          <rPr>
            <sz val="9"/>
            <color indexed="81"/>
            <rFont val="Tahoma"/>
            <family val="2"/>
          </rPr>
          <t>Required</t>
        </r>
      </text>
    </comment>
    <comment ref="B7" authorId="0" shapeId="0" xr:uid="{3633447E-65ED-4CEF-A6A3-6EA2029FA82F}">
      <text>
        <r>
          <rPr>
            <sz val="9"/>
            <color indexed="81"/>
            <rFont val="Tahoma"/>
            <family val="2"/>
          </rPr>
          <t>Required</t>
        </r>
      </text>
    </comment>
    <comment ref="B8" authorId="0" shapeId="0" xr:uid="{CA4F103C-5E5C-4A17-A829-DEC9C1B109F0}">
      <text>
        <r>
          <rPr>
            <sz val="9"/>
            <color indexed="81"/>
            <rFont val="Tahoma"/>
            <family val="2"/>
          </rPr>
          <t>Required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 gizzi</author>
  </authors>
  <commentList>
    <comment ref="C3" authorId="0" shapeId="0" xr:uid="{FE034395-E179-4146-96D4-2FD0A8084853}">
      <text>
        <r>
          <rPr>
            <sz val="9"/>
            <color indexed="81"/>
            <rFont val="Tahoma"/>
            <family val="2"/>
          </rPr>
          <t>Required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97262C-14E8-4D90-AA44-A0ED6815C5BA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9DCA1A8-D350-4AE2-ADE0-C55CED437C54}" name="WorksheetConnection_Palms_tool.xlsm!Table3" type="102" refreshedVersion="7" minRefreshableVersion="5">
    <extLst>
      <ext xmlns:x15="http://schemas.microsoft.com/office/spreadsheetml/2010/11/main" uri="{DE250136-89BD-433C-8126-D09CA5730AF9}">
        <x15:connection id="Table3">
          <x15:rangePr sourceName="_xlcn.WorksheetConnection_Palms_tool.xlsmTable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<sst xmlns="http://schemas.openxmlformats.org/spreadsheetml/2006/main" count="146" uniqueCount="90">
  <si>
    <t>Member-ID</t>
  </si>
  <si>
    <t>Member-First Name</t>
  </si>
  <si>
    <t>Member-Last Name</t>
  </si>
  <si>
    <t>Member-Start date</t>
  </si>
  <si>
    <t>P</t>
  </si>
  <si>
    <t>A</t>
  </si>
  <si>
    <t>L</t>
  </si>
  <si>
    <t>M</t>
  </si>
  <si>
    <t>S</t>
  </si>
  <si>
    <t>V</t>
  </si>
  <si>
    <t>TYFCB-ID</t>
  </si>
  <si>
    <t>TYFCB-From</t>
  </si>
  <si>
    <t>TYFCB-TO</t>
  </si>
  <si>
    <t>TYFCB-Date</t>
  </si>
  <si>
    <t>TYFCB-Amount</t>
  </si>
  <si>
    <t>R-ID</t>
  </si>
  <si>
    <t>R-From</t>
  </si>
  <si>
    <t>R-To</t>
  </si>
  <si>
    <t>R-Date</t>
  </si>
  <si>
    <t>R-Type</t>
  </si>
  <si>
    <t>R-Name</t>
  </si>
  <si>
    <t>R-Status</t>
  </si>
  <si>
    <t>R-Telephone</t>
  </si>
  <si>
    <t>R-Email</t>
  </si>
  <si>
    <t>R-Comments</t>
  </si>
  <si>
    <t>1to1-ID</t>
  </si>
  <si>
    <t>1to1-Met_with</t>
  </si>
  <si>
    <t>1to1-Invited_by</t>
  </si>
  <si>
    <t>1to1-Date</t>
  </si>
  <si>
    <t>1to1-Location</t>
  </si>
  <si>
    <t>1to1-Topic</t>
  </si>
  <si>
    <t>Palms-date</t>
  </si>
  <si>
    <t>Palms-Member</t>
  </si>
  <si>
    <t>First Name</t>
  </si>
  <si>
    <t>Last Name</t>
  </si>
  <si>
    <t>Membership Start date</t>
  </si>
  <si>
    <t>Membership End date</t>
  </si>
  <si>
    <t>Member-Full Name</t>
  </si>
  <si>
    <t>Inside</t>
  </si>
  <si>
    <t>Outside</t>
  </si>
  <si>
    <t>R-Referral</t>
  </si>
  <si>
    <t>Given your card</t>
  </si>
  <si>
    <t>Told them you would call</t>
  </si>
  <si>
    <t>RGI</t>
  </si>
  <si>
    <t>RGO</t>
  </si>
  <si>
    <t>RRI</t>
  </si>
  <si>
    <t>RRO</t>
  </si>
  <si>
    <t>TYFCB</t>
  </si>
  <si>
    <t>1-2-1</t>
  </si>
  <si>
    <t>Member-End date</t>
  </si>
  <si>
    <t>R-Address</t>
  </si>
  <si>
    <t>Referral</t>
  </si>
  <si>
    <t>1 TO 1</t>
  </si>
  <si>
    <t>PALMS</t>
  </si>
  <si>
    <t>Inputs</t>
  </si>
  <si>
    <t>PALMS TOOL</t>
  </si>
  <si>
    <t>sdf</t>
  </si>
  <si>
    <t>Date:</t>
  </si>
  <si>
    <t>From</t>
  </si>
  <si>
    <t>To</t>
  </si>
  <si>
    <t>Report</t>
  </si>
  <si>
    <t>Palms_Options</t>
  </si>
  <si>
    <t>Yes</t>
  </si>
  <si>
    <t>No</t>
  </si>
  <si>
    <t>OnlyActive</t>
  </si>
  <si>
    <t>Steven</t>
  </si>
  <si>
    <t>Palmieri</t>
  </si>
  <si>
    <t>Palmieri, Steven</t>
  </si>
  <si>
    <t>David</t>
  </si>
  <si>
    <t>Crooks</t>
  </si>
  <si>
    <t>Crooks, David</t>
  </si>
  <si>
    <t>John Doe</t>
  </si>
  <si>
    <t>dc</t>
  </si>
  <si>
    <t>555-555-5555</t>
  </si>
  <si>
    <t>a@test.com</t>
  </si>
  <si>
    <t>dsvcd</t>
  </si>
  <si>
    <t>dfgs</t>
  </si>
  <si>
    <t>fg</t>
  </si>
  <si>
    <t>dfg</t>
  </si>
  <si>
    <t>1to1-My Name</t>
  </si>
  <si>
    <t xml:space="preserve">Tracy </t>
  </si>
  <si>
    <t>Rumsey</t>
  </si>
  <si>
    <t xml:space="preserve">Rumsey, Tracy </t>
  </si>
  <si>
    <t>fvfvf</t>
  </si>
  <si>
    <t>dfvfvv</t>
  </si>
  <si>
    <t>dfvfdvfdv</t>
  </si>
  <si>
    <t>Pancake House</t>
  </si>
  <si>
    <t>Bizz-nassss</t>
  </si>
  <si>
    <t>New/Modify Member</t>
  </si>
  <si>
    <t>MemberFullnameSorted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</si>
</sst>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0"/>
      <name val="Graphik Black"/>
      <family val="2"/>
    </font>
    <font>
      <b/>
      <sz val="14"/>
      <color theme="0"/>
      <name val="Graphik Black"/>
      <family val="2"/>
    </font>
    <font>
      <b/>
      <sz val="16"/>
      <color theme="0"/>
      <name val="Graphik Black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3366FF"/>
        <bgColor indexed="64"/>
      </patternFill>
    </fill>
  </fills>
  <borders count="2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2" xfId="0" applyFont="1" applyFill="1" applyBorder="1"/>
    <xf numFmtId="0" fontId="1" fillId="2" borderId="3" xfId="0" applyFont="1" applyFill="1" applyBorder="1"/>
    <xf numFmtId="0" fontId="0" fillId="3" borderId="2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14" fontId="0" fillId="0" borderId="0" xfId="0" applyNumberForma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0" fillId="0" borderId="8" xfId="0" applyBorder="1"/>
    <xf numFmtId="0" fontId="0" fillId="0" borderId="18" xfId="0" applyBorder="1"/>
    <xf numFmtId="0" fontId="3" fillId="0" borderId="9" xfId="0" applyFont="1" applyBorder="1"/>
    <xf numFmtId="14" fontId="0" fillId="3" borderId="1" xfId="0" applyNumberFormat="1" applyFont="1" applyFill="1" applyBorder="1"/>
    <xf numFmtId="14" fontId="0" fillId="0" borderId="8" xfId="0" applyNumberFormat="1" applyBorder="1" applyAlignment="1">
      <alignment horizontal="center" vertic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14" fontId="0" fillId="0" borderId="8" xfId="0" applyNumberFormat="1" applyBorder="1" applyAlignment="1">
      <alignment horizontal="left"/>
    </xf>
    <xf numFmtId="14" fontId="0" fillId="0" borderId="18" xfId="0" applyNumberFormat="1" applyBorder="1" applyAlignment="1">
      <alignment horizontal="left"/>
    </xf>
    <xf numFmtId="0" fontId="0" fillId="0" borderId="23" xfId="0" applyBorder="1"/>
    <xf numFmtId="0" fontId="5" fillId="4" borderId="8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left" vertical="center"/>
    </xf>
    <xf numFmtId="0" fontId="0" fillId="3" borderId="1" xfId="0" applyFont="1" applyFill="1" applyBorder="1"/>
    <xf numFmtId="0" fontId="0" fillId="3" borderId="3" xfId="0" applyFont="1" applyFill="1" applyBorder="1"/>
    <xf numFmtId="0" fontId="1" fillId="2" borderId="25" xfId="0" applyFont="1" applyFill="1" applyBorder="1"/>
    <xf numFmtId="0" fontId="8" fillId="0" borderId="8" xfId="1" applyBorder="1"/>
    <xf numFmtId="0" fontId="1" fillId="2" borderId="0" xfId="0" applyFont="1" applyFill="1" applyBorder="1"/>
    <xf numFmtId="0" fontId="6" fillId="4" borderId="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5" fillId="4" borderId="6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8"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3366FF"/>
      <color rgb="FF5E0092"/>
      <color rgb="FFC45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129541</xdr:colOff>
      <xdr:row>5</xdr:row>
      <xdr:rowOff>78105</xdr:rowOff>
    </xdr:from>
    <xdr:to>
      <xdr:col>1</xdr:col>
      <xdr:colOff>2015491</xdr:colOff>
      <xdr:row>6</xdr:row>
      <xdr:rowOff>142875</xdr:rowOff>
    </xdr:to>
    <xdr:sp macro="[0]!go_inpt_tyfcb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7191" y="1144905"/>
          <a:ext cx="1885950" cy="255270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Submit TYFCB Slips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133349</xdr:colOff>
      <xdr:row>7</xdr:row>
      <xdr:rowOff>24765</xdr:rowOff>
    </xdr:from>
    <xdr:to>
      <xdr:col>1</xdr:col>
      <xdr:colOff>2021204</xdr:colOff>
      <xdr:row>8</xdr:row>
      <xdr:rowOff>92583</xdr:rowOff>
    </xdr:to>
    <xdr:sp macro="[0]!go_inpt_referra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0999" y="1463040"/>
          <a:ext cx="1887855" cy="258318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Submit Referral Slips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133350</xdr:colOff>
      <xdr:row>8</xdr:row>
      <xdr:rowOff>167640</xdr:rowOff>
    </xdr:from>
    <xdr:to>
      <xdr:col>1</xdr:col>
      <xdr:colOff>2019300</xdr:colOff>
      <xdr:row>10</xdr:row>
      <xdr:rowOff>41148</xdr:rowOff>
    </xdr:to>
    <xdr:sp macro="[0]!go_inpt_1to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1000" y="1796415"/>
          <a:ext cx="1885950" cy="235458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Submit One-toOne Slips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129540</xdr:colOff>
      <xdr:row>10</xdr:row>
      <xdr:rowOff>104775</xdr:rowOff>
    </xdr:from>
    <xdr:to>
      <xdr:col>1</xdr:col>
      <xdr:colOff>2015490</xdr:colOff>
      <xdr:row>11</xdr:row>
      <xdr:rowOff>161925</xdr:rowOff>
    </xdr:to>
    <xdr:sp macro="[0]!go_inpt_Palm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77190" y="2095500"/>
          <a:ext cx="1885950" cy="23812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Submit Palms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133350</xdr:colOff>
      <xdr:row>12</xdr:row>
      <xdr:rowOff>57149</xdr:rowOff>
    </xdr:from>
    <xdr:to>
      <xdr:col>1</xdr:col>
      <xdr:colOff>2019300</xdr:colOff>
      <xdr:row>13</xdr:row>
      <xdr:rowOff>115442</xdr:rowOff>
    </xdr:to>
    <xdr:sp macro="[0]!go_inpt_memb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81000" y="2419349"/>
          <a:ext cx="1885950" cy="239268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latin typeface="Arial Black" panose="020B0A04020102020204" pitchFamily="34" charset="0"/>
            </a:rPr>
            <a:t>New/Modify Member</a:t>
          </a:r>
        </a:p>
      </xdr:txBody>
    </xdr:sp>
    <xdr:clientData/>
  </xdr:twoCellAnchor>
  <xdr:twoCellAnchor>
    <xdr:from>
      <xdr:col>4</xdr:col>
      <xdr:colOff>466725</xdr:colOff>
      <xdr:row>9</xdr:row>
      <xdr:rowOff>139065</xdr:rowOff>
    </xdr:from>
    <xdr:to>
      <xdr:col>7</xdr:col>
      <xdr:colOff>304800</xdr:colOff>
      <xdr:row>11</xdr:row>
      <xdr:rowOff>59055</xdr:rowOff>
    </xdr:to>
    <xdr:sp macro="[0]!report1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714750" y="1948815"/>
          <a:ext cx="1666875" cy="281940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Run PALMS Report 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16383</xdr:col>
          <xdr:colOff>0</xdr:colOff>
          <xdr:row>1048575</xdr:row>
          <xdr:rowOff>0</xdr:rowOff>
        </xdr:from>
        <xdr:to>
          <xdr:col>16383</xdr:col>
          <xdr:colOff>0</xdr:colOff>
          <xdr:row>1048575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16383</xdr:col>
          <xdr:colOff>0</xdr:colOff>
          <xdr:row>15</xdr:row>
          <xdr:rowOff>121920</xdr:rowOff>
        </xdr:from>
        <xdr:to>
          <xdr:col>16383</xdr:col>
          <xdr:colOff>0</xdr:colOff>
          <xdr:row>1048575</xdr:row>
          <xdr:rowOff>121920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16383</xdr:col>
          <xdr:colOff>0</xdr:colOff>
          <xdr:row>1048575</xdr:row>
          <xdr:rowOff>0</xdr:rowOff>
        </xdr:from>
        <xdr:to>
          <xdr:col>16383</xdr:col>
          <xdr:colOff>0</xdr:colOff>
          <xdr:row>1048575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38101</xdr:colOff>
      <xdr:row>8</xdr:row>
      <xdr:rowOff>28575</xdr:rowOff>
    </xdr:from>
    <xdr:to>
      <xdr:col>7</xdr:col>
      <xdr:colOff>381001</xdr:colOff>
      <xdr:row>8</xdr:row>
      <xdr:rowOff>163830</xdr:rowOff>
    </xdr:to>
    <xdr:sp macro="[0]!Home_to_DPick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114926" y="1657350"/>
          <a:ext cx="342900" cy="13525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...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38101</xdr:colOff>
      <xdr:row>6</xdr:row>
      <xdr:rowOff>26670</xdr:rowOff>
    </xdr:from>
    <xdr:to>
      <xdr:col>7</xdr:col>
      <xdr:colOff>381001</xdr:colOff>
      <xdr:row>6</xdr:row>
      <xdr:rowOff>173355</xdr:rowOff>
    </xdr:to>
    <xdr:sp macro="[0]!Home_From_DPick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114926" y="1283970"/>
          <a:ext cx="342900" cy="14668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...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220980</xdr:colOff>
      <xdr:row>2</xdr:row>
      <xdr:rowOff>154305</xdr:rowOff>
    </xdr:from>
    <xdr:to>
      <xdr:col>14</xdr:col>
      <xdr:colOff>386715</xdr:colOff>
      <xdr:row>4</xdr:row>
      <xdr:rowOff>20955</xdr:rowOff>
    </xdr:to>
    <xdr:sp macro="[0]!F_Palm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774430" y="621030"/>
          <a:ext cx="775335" cy="285750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Submit 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85726</xdr:colOff>
      <xdr:row>0</xdr:row>
      <xdr:rowOff>64771</xdr:rowOff>
    </xdr:from>
    <xdr:to>
      <xdr:col>1</xdr:col>
      <xdr:colOff>409575</xdr:colOff>
      <xdr:row>0</xdr:row>
      <xdr:rowOff>266700</xdr:rowOff>
    </xdr:to>
    <xdr:sp macro="[0]!goba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flipH="1">
          <a:off x="87631" y="62866"/>
          <a:ext cx="567689" cy="203834"/>
        </a:xfrm>
        <a:prstGeom prst="rightArrow">
          <a:avLst>
            <a:gd name="adj1" fmla="val 55025"/>
            <a:gd name="adj2" fmla="val 50000"/>
          </a:avLst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Arial Black" panose="020B0A04020102020204" pitchFamily="34" charset="0"/>
            </a:rPr>
            <a:t>BACK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47625</xdr:colOff>
      <xdr:row>3</xdr:row>
      <xdr:rowOff>66675</xdr:rowOff>
    </xdr:from>
    <xdr:to>
      <xdr:col>3</xdr:col>
      <xdr:colOff>390525</xdr:colOff>
      <xdr:row>3</xdr:row>
      <xdr:rowOff>205740</xdr:rowOff>
    </xdr:to>
    <xdr:sp macro="[0]!Module1.Palms_DP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095500" y="838200"/>
          <a:ext cx="342900" cy="13906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...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481966</xdr:colOff>
      <xdr:row>7</xdr:row>
      <xdr:rowOff>160021</xdr:rowOff>
    </xdr:from>
    <xdr:to>
      <xdr:col>2</xdr:col>
      <xdr:colOff>1257301</xdr:colOff>
      <xdr:row>8</xdr:row>
      <xdr:rowOff>177166</xdr:rowOff>
    </xdr:to>
    <xdr:sp macro="[0]!F_memb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501266" y="1626871"/>
          <a:ext cx="775335" cy="198120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Submit 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85726</xdr:colOff>
      <xdr:row>0</xdr:row>
      <xdr:rowOff>64771</xdr:rowOff>
    </xdr:from>
    <xdr:to>
      <xdr:col>1</xdr:col>
      <xdr:colOff>409575</xdr:colOff>
      <xdr:row>0</xdr:row>
      <xdr:rowOff>266700</xdr:rowOff>
    </xdr:to>
    <xdr:sp macro="[0]!goback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flipH="1">
          <a:off x="85726" y="64771"/>
          <a:ext cx="571499" cy="201929"/>
        </a:xfrm>
        <a:prstGeom prst="rightArrow">
          <a:avLst>
            <a:gd name="adj1" fmla="val 55025"/>
            <a:gd name="adj2" fmla="val 50000"/>
          </a:avLst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Arial Black" panose="020B0A04020102020204" pitchFamily="34" charset="0"/>
            </a:rPr>
            <a:t>BACK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1390650</xdr:colOff>
      <xdr:row>5</xdr:row>
      <xdr:rowOff>15240</xdr:rowOff>
    </xdr:from>
    <xdr:to>
      <xdr:col>2</xdr:col>
      <xdr:colOff>1729740</xdr:colOff>
      <xdr:row>5</xdr:row>
      <xdr:rowOff>158115</xdr:rowOff>
    </xdr:to>
    <xdr:sp macro="[0]!Module1.Member_from_DP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394710" y="1013460"/>
          <a:ext cx="339090" cy="14287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...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1386840</xdr:colOff>
      <xdr:row>6</xdr:row>
      <xdr:rowOff>22860</xdr:rowOff>
    </xdr:from>
    <xdr:to>
      <xdr:col>2</xdr:col>
      <xdr:colOff>1729740</xdr:colOff>
      <xdr:row>6</xdr:row>
      <xdr:rowOff>165735</xdr:rowOff>
    </xdr:to>
    <xdr:sp macro="[0]!Module1.Member_to_DP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390900" y="1211580"/>
          <a:ext cx="342900" cy="14287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...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1413510</xdr:colOff>
      <xdr:row>3</xdr:row>
      <xdr:rowOff>7620</xdr:rowOff>
    </xdr:from>
    <xdr:to>
      <xdr:col>2</xdr:col>
      <xdr:colOff>1752600</xdr:colOff>
      <xdr:row>3</xdr:row>
      <xdr:rowOff>150495</xdr:rowOff>
    </xdr:to>
    <xdr:sp macro="[0]!openuserpick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417570" y="624840"/>
          <a:ext cx="339090" cy="14287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...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506730</xdr:colOff>
      <xdr:row>7</xdr:row>
      <xdr:rowOff>150495</xdr:rowOff>
    </xdr:from>
    <xdr:to>
      <xdr:col>2</xdr:col>
      <xdr:colOff>1282065</xdr:colOff>
      <xdr:row>8</xdr:row>
      <xdr:rowOff>179070</xdr:rowOff>
    </xdr:to>
    <xdr:sp macro="[0]!F_TYFCB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526030" y="1617345"/>
          <a:ext cx="775335" cy="209550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Submit 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85726</xdr:colOff>
      <xdr:row>0</xdr:row>
      <xdr:rowOff>64771</xdr:rowOff>
    </xdr:from>
    <xdr:to>
      <xdr:col>1</xdr:col>
      <xdr:colOff>409575</xdr:colOff>
      <xdr:row>0</xdr:row>
      <xdr:rowOff>266700</xdr:rowOff>
    </xdr:to>
    <xdr:sp macro="[0]!goback" textlink="">
      <xdr:nvSpPr>
        <xdr:cNvPr id="7" name="Arrow: Righ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flipH="1">
          <a:off x="87631" y="62866"/>
          <a:ext cx="567689" cy="203834"/>
        </a:xfrm>
        <a:prstGeom prst="rightArrow">
          <a:avLst>
            <a:gd name="adj1" fmla="val 55025"/>
            <a:gd name="adj2" fmla="val 50000"/>
          </a:avLst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Arial Black" panose="020B0A04020102020204" pitchFamily="34" charset="0"/>
            </a:rPr>
            <a:t>BACK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1381125</xdr:colOff>
      <xdr:row>5</xdr:row>
      <xdr:rowOff>28575</xdr:rowOff>
    </xdr:from>
    <xdr:to>
      <xdr:col>2</xdr:col>
      <xdr:colOff>1724025</xdr:colOff>
      <xdr:row>5</xdr:row>
      <xdr:rowOff>167640</xdr:rowOff>
    </xdr:to>
    <xdr:sp macro="[0]!Module1.TYFCB_DP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400425" y="1152525"/>
          <a:ext cx="342900" cy="13906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...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13</xdr:row>
      <xdr:rowOff>167640</xdr:rowOff>
    </xdr:from>
    <xdr:to>
      <xdr:col>2</xdr:col>
      <xdr:colOff>1264920</xdr:colOff>
      <xdr:row>15</xdr:row>
      <xdr:rowOff>5715</xdr:rowOff>
    </xdr:to>
    <xdr:sp macro="[0]!F_Referra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505075" y="3006090"/>
          <a:ext cx="779145" cy="20002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Submit 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85726</xdr:colOff>
      <xdr:row>0</xdr:row>
      <xdr:rowOff>64771</xdr:rowOff>
    </xdr:from>
    <xdr:to>
      <xdr:col>1</xdr:col>
      <xdr:colOff>409575</xdr:colOff>
      <xdr:row>0</xdr:row>
      <xdr:rowOff>266700</xdr:rowOff>
    </xdr:to>
    <xdr:sp macro="[0]!goba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flipH="1">
          <a:off x="87631" y="62866"/>
          <a:ext cx="567689" cy="203834"/>
        </a:xfrm>
        <a:prstGeom prst="rightArrow">
          <a:avLst>
            <a:gd name="adj1" fmla="val 55025"/>
            <a:gd name="adj2" fmla="val 50000"/>
          </a:avLst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Arial Black" panose="020B0A04020102020204" pitchFamily="34" charset="0"/>
            </a:rPr>
            <a:t>BACK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1400175</xdr:colOff>
      <xdr:row>5</xdr:row>
      <xdr:rowOff>28575</xdr:rowOff>
    </xdr:from>
    <xdr:to>
      <xdr:col>2</xdr:col>
      <xdr:colOff>1743075</xdr:colOff>
      <xdr:row>5</xdr:row>
      <xdr:rowOff>171450</xdr:rowOff>
    </xdr:to>
    <xdr:sp macro="[0]!Module1.Referral_DP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419475" y="1152525"/>
          <a:ext cx="342900" cy="14287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...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8</xdr:row>
      <xdr:rowOff>129540</xdr:rowOff>
    </xdr:from>
    <xdr:to>
      <xdr:col>2</xdr:col>
      <xdr:colOff>1259205</xdr:colOff>
      <xdr:row>9</xdr:row>
      <xdr:rowOff>148590</xdr:rowOff>
    </xdr:to>
    <xdr:sp macro="[0]!F_1to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491740" y="1824990"/>
          <a:ext cx="786765" cy="20002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Submit 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85726</xdr:colOff>
      <xdr:row>0</xdr:row>
      <xdr:rowOff>64771</xdr:rowOff>
    </xdr:from>
    <xdr:to>
      <xdr:col>1</xdr:col>
      <xdr:colOff>409575</xdr:colOff>
      <xdr:row>0</xdr:row>
      <xdr:rowOff>266700</xdr:rowOff>
    </xdr:to>
    <xdr:sp macro="[0]!goba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 flipH="1">
          <a:off x="87631" y="62866"/>
          <a:ext cx="567689" cy="203834"/>
        </a:xfrm>
        <a:prstGeom prst="rightArrow">
          <a:avLst>
            <a:gd name="adj1" fmla="val 55025"/>
            <a:gd name="adj2" fmla="val 50000"/>
          </a:avLst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Arial Black" panose="020B0A04020102020204" pitchFamily="34" charset="0"/>
            </a:rPr>
            <a:t>BACK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1390650</xdr:colOff>
      <xdr:row>5</xdr:row>
      <xdr:rowOff>28575</xdr:rowOff>
    </xdr:from>
    <xdr:to>
      <xdr:col>2</xdr:col>
      <xdr:colOff>1733550</xdr:colOff>
      <xdr:row>5</xdr:row>
      <xdr:rowOff>167640</xdr:rowOff>
    </xdr:to>
    <xdr:sp macro="[0]!Module1.onetoone_DP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409950" y="1152525"/>
          <a:ext cx="342900" cy="139065"/>
        </a:xfrm>
        <a:prstGeom prst="roundRect">
          <a:avLst/>
        </a:prstGeom>
        <a:solidFill>
          <a:srgbClr val="3366FF"/>
        </a:solidFill>
        <a:ln>
          <a:solidFill>
            <a:srgbClr val="3366FF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aseline="0">
              <a:latin typeface="Arial Black" panose="020B0A04020102020204" pitchFamily="34" charset="0"/>
            </a:rPr>
            <a:t>...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E848BE-72D4-4B88-9078-6AD597E4CB0D}" name="tbl_palms" displayName="tbl_palms" ref="A1:O4" totalsRowShown="0" headerRowDxfId="17" dataDxfId="16" tableBorderDxfId="15">
  <autoFilter ref="A1:O4" xr:uid="{9DE848BE-72D4-4B88-9078-6AD597E4CB0D}"/>
  <tableColumns count="15">
    <tableColumn id="1" xr3:uid="{E391E7B7-CE22-4854-9981-7B2CC25C9EBF}" name="Member-ID"/>
    <tableColumn id="2" xr3:uid="{0775D987-BFA0-4762-9388-CCD248773633}" name="Palms-date" dataDxfId="14"/>
    <tableColumn id="3" xr3:uid="{9C102061-C3AE-4717-BB79-CCDEC9477EBF}" name="Palms-Member" dataDxfId="13"/>
    <tableColumn id="4" xr3:uid="{758B3A41-248C-46E5-AABF-888E607C906C}" name="P" dataDxfId="12"/>
    <tableColumn id="5" xr3:uid="{3270DB65-63A5-460A-BBEE-271F435866A2}" name="A" dataDxfId="11"/>
    <tableColumn id="6" xr3:uid="{897E1B98-BD93-4BE0-A3FC-0018A2B84F9D}" name="L" dataDxfId="10"/>
    <tableColumn id="7" xr3:uid="{E53688DC-B577-4ADF-8ABD-80D3B088F201}" name="M" dataDxfId="9"/>
    <tableColumn id="8" xr3:uid="{8674B8B3-963E-4A81-94A5-25FD8BFD6927}" name="S" dataDxfId="8"/>
    <tableColumn id="9" xr3:uid="{F156BB07-70BF-4061-9711-8AA9288223BE}" name="V" dataDxfId="7"/>
    <tableColumn id="10" xr3:uid="{A5828546-D0F6-4032-B375-863CEF3126A9}" name="RGI" dataDxfId="6"/>
    <tableColumn id="11" xr3:uid="{DB7B83A3-1EFD-43A0-9F97-754E2DB5E9F6}" name="RGO" dataDxfId="5"/>
    <tableColumn id="12" xr3:uid="{F18B4482-5BA8-4AEC-A57E-63D479B7C019}" name="RRI" dataDxfId="4"/>
    <tableColumn id="13" xr3:uid="{F40D5290-7FA3-405F-B7A2-273BAF1E8C41}" name="RRO" dataDxfId="3"/>
    <tableColumn id="14" xr3:uid="{C25557A6-4A42-4F4F-BDB9-45CA803627CD}" name="TYFCB" dataDxfId="2"/>
    <tableColumn id="15" xr3:uid="{2C6EE6EF-E9E4-4C25-BCB9-7C66663D6913}" name="1-2-1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5FF9AE-33C3-439B-82DA-EAC327707569}" name="tbl_member" displayName="tbl_member" ref="A1:F4" totalsRowShown="0">
  <autoFilter ref="A1:F4" xr:uid="{985FF9AE-33C3-439B-82DA-EAC327707569}"/>
  <sortState xmlns:xlrd2="http://schemas.microsoft.com/office/spreadsheetml/2017/richdata2" ref="A2:F4">
    <sortCondition ref="A1:A4"/>
  </sortState>
  <tableColumns count="6">
    <tableColumn id="1" xr3:uid="{5DEBFF93-A8C7-48AE-94CD-AC7D8D5F9737}" name="Member-ID"/>
    <tableColumn id="2" xr3:uid="{5E6548B0-744F-4568-A91D-8955E698A47A}" name="Member-First Name"/>
    <tableColumn id="3" xr3:uid="{89EA494A-ED8C-41D6-ADFF-7168345CB304}" name="Member-Last Name"/>
    <tableColumn id="6" xr3:uid="{C8139C74-CA5C-4051-AF82-6BF7F9D8ACDB}" name="Member-Full Name"/>
    <tableColumn id="4" xr3:uid="{5AAEE8ED-55A9-4FB4-9941-7979878CC09A}" name="Member-Start date"/>
    <tableColumn id="5" xr3:uid="{07557517-2E1B-418C-BAE3-4AD6DB8EF4AE}" name="Member-End dat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A7E3C5-FBCF-4A7E-AEEB-7743C2965529}" name="tbl_tyfcb" displayName="tbl_tyfcb" ref="A1:E4" totalsRowShown="0">
  <autoFilter ref="A1:E4" xr:uid="{4CA7E3C5-FBCF-4A7E-AEEB-7743C2965529}"/>
  <tableColumns count="5">
    <tableColumn id="1" xr3:uid="{BAD439E7-C377-4064-8F06-80700438AB39}" name="TYFCB-ID"/>
    <tableColumn id="2" xr3:uid="{02FB7BEA-F662-403A-A9A2-B33C8E714097}" name="TYFCB-From"/>
    <tableColumn id="3" xr3:uid="{2F0437B7-AF8D-4056-8D07-1FC203043955}" name="TYFCB-TO"/>
    <tableColumn id="4" xr3:uid="{80173F62-D3A3-43B2-A399-9A1F90C48669}" name="TYFCB-Date"/>
    <tableColumn id="5" xr3:uid="{96ADE510-46F9-4191-94A1-321A7F40F2B4}" name="TYFCB-Am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92E3F5-63D6-412C-83A5-182B36C2D0C3}" name="tbl_referral" displayName="tbl_referral" ref="A1:K4" totalsRowShown="0">
  <autoFilter ref="A1:K4" xr:uid="{A292E3F5-63D6-412C-83A5-182B36C2D0C3}"/>
  <tableColumns count="11">
    <tableColumn id="1" xr3:uid="{8E88EA28-3253-4246-9C29-6F4121A6DA8F}" name="R-ID"/>
    <tableColumn id="2" xr3:uid="{E726F4E9-1BF2-4BF1-BEA7-ABFAE97E92C6}" name="R-From"/>
    <tableColumn id="3" xr3:uid="{A1FDB6EC-0857-41D9-906D-27213C612F11}" name="R-To"/>
    <tableColumn id="4" xr3:uid="{896F91CD-C74F-4F93-94CB-6BFD38D1BA7B}" name="R-Date"/>
    <tableColumn id="5" xr3:uid="{68FD4A4B-51B3-4BD7-9227-6FA6CBA1EC8A}" name="R-Type"/>
    <tableColumn id="6" xr3:uid="{D0B5F267-C186-49B3-810C-A8D942EB30E0}" name="R-Name"/>
    <tableColumn id="7" xr3:uid="{C31B8E15-C9D0-4247-91E4-5DD3F5A20028}" name="R-Status"/>
    <tableColumn id="8" xr3:uid="{EC44C3EA-ACD9-474C-AFED-264D02D51EB6}" name="R-Address"/>
    <tableColumn id="9" xr3:uid="{62233A38-A5D8-4683-BF69-B0094480C8B7}" name="R-Telephone"/>
    <tableColumn id="10" xr3:uid="{8DC7DE83-C21F-42C3-9448-BEFAC6FC9435}" name="R-Email"/>
    <tableColumn id="11" xr3:uid="{A3956A73-A942-4CEC-AEE2-7243E12D5E25}" name="R-Com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ECC90F0-AEB5-4292-91E8-F8123577818C}" name="tbl_1to1" displayName="tbl_1to1" ref="A1:F4" totalsRowShown="0">
  <autoFilter ref="A1:F4" xr:uid="{9ECC90F0-AEB5-4292-91E8-F8123577818C}"/>
  <tableColumns count="6">
    <tableColumn id="1" xr3:uid="{4AD40E57-E012-4C3C-9321-6CD199606932}" name="1to1-ID"/>
    <tableColumn id="2" xr3:uid="{FBAA8AD4-BB99-4CC4-9959-24C7D3DCC663}" name="1to1-Met_with"/>
    <tableColumn id="3" xr3:uid="{2338BD7B-A8B9-41CE-8957-6569D1F02D0E}" name="1to1-Invited_by"/>
    <tableColumn id="4" xr3:uid="{752A3291-1820-48C0-919D-5A71765BB9ED}" name="1to1-Date"/>
    <tableColumn id="5" xr3:uid="{01F43904-369D-47A0-B996-6D9F2559C733}" name="1to1-Location"/>
    <tableColumn id="6" xr3:uid="{6D85255E-B53E-4126-80F8-CDC2D04ACDE4}" name="1to1-Topi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EB63-CEBC-49EE-BC91-DFE7404953AC}">
  <sheetPr codeName="Sheet1"/>
  <dimension ref="A1:P34"/>
  <sheetViews>
    <sheetView showGridLines="0" showRowColHeaders="0" tabSelected="1" workbookViewId="0">
      <selection activeCell="J7" sqref="J7"/>
    </sheetView>
  </sheetViews>
  <sheetFormatPr defaultColWidth="0" defaultRowHeight="14.4" zeroHeight="1"/>
  <cols>
    <col min="1" max="1" width="3.5546875" customWidth="1"/>
    <col min="2" max="2" width="31.6640625" customWidth="1"/>
    <col min="3" max="3" width="8.88671875" customWidth="1"/>
    <col min="4" max="4" width="3" customWidth="1"/>
    <col min="5" max="15" width="8.88671875" customWidth="1"/>
    <col min="16" max="16" width="3.5546875" customWidth="1"/>
    <col min="17" max="16384" width="8.88671875" hidden="1"/>
  </cols>
  <sheetData>
    <row r="1" spans="2:15" ht="7.2" customHeight="1" thickBot="1"/>
    <row r="2" spans="2:15" ht="21.6" thickBot="1">
      <c r="B2" s="38" t="s">
        <v>55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40"/>
    </row>
    <row r="3" spans="2:15"/>
    <row r="4" spans="2:15" ht="15" thickBot="1"/>
    <row r="5" spans="2:15" ht="18" thickBot="1">
      <c r="B5" s="26" t="s">
        <v>54</v>
      </c>
      <c r="D5" s="41" t="s">
        <v>60</v>
      </c>
      <c r="E5" s="42"/>
      <c r="F5" s="42"/>
      <c r="G5" s="42"/>
      <c r="H5" s="42"/>
    </row>
    <row r="6" spans="2:15" ht="15" thickBot="1">
      <c r="B6" s="13"/>
      <c r="D6" s="7"/>
      <c r="E6" s="8"/>
      <c r="F6" s="8"/>
      <c r="G6" s="8"/>
      <c r="H6" s="9"/>
    </row>
    <row r="7" spans="2:15" ht="14.4" customHeight="1" thickBot="1">
      <c r="B7" s="14"/>
      <c r="D7" s="10"/>
      <c r="E7" s="27" t="s">
        <v>58</v>
      </c>
      <c r="F7" s="43"/>
      <c r="G7" s="44"/>
      <c r="H7" s="11"/>
      <c r="J7" s="6"/>
    </row>
    <row r="8" spans="2:15" ht="15" thickBot="1">
      <c r="B8" s="14"/>
      <c r="D8" s="10"/>
      <c r="E8" s="12"/>
      <c r="F8" s="12"/>
      <c r="G8" s="12"/>
      <c r="H8" s="11"/>
      <c r="J8" s="6"/>
    </row>
    <row r="9" spans="2:15" ht="14.4" customHeight="1" thickBot="1">
      <c r="B9" s="14"/>
      <c r="D9" s="10"/>
      <c r="E9" s="27" t="s">
        <v>59</v>
      </c>
      <c r="F9" s="43"/>
      <c r="G9" s="44"/>
      <c r="H9" s="11"/>
    </row>
    <row r="10" spans="2:15">
      <c r="B10" s="14"/>
      <c r="D10" s="10"/>
      <c r="E10" s="12"/>
      <c r="F10" s="12"/>
      <c r="G10" s="12"/>
      <c r="H10" s="11"/>
    </row>
    <row r="11" spans="2:15">
      <c r="B11" s="14"/>
      <c r="D11" s="10"/>
      <c r="E11" s="12"/>
      <c r="F11" s="12"/>
      <c r="G11" s="12"/>
      <c r="H11" s="11"/>
    </row>
    <row r="12" spans="2:15" ht="15" thickBot="1">
      <c r="B12" s="14"/>
      <c r="D12" s="20"/>
      <c r="E12" s="21"/>
      <c r="F12" s="21"/>
      <c r="G12" s="21"/>
      <c r="H12" s="22"/>
    </row>
    <row r="13" spans="2:15">
      <c r="B13" s="14"/>
    </row>
    <row r="14" spans="2:15" ht="16.95" customHeight="1" thickBot="1">
      <c r="B14" s="16"/>
    </row>
    <row r="15" spans="2:15"/>
    <row r="16" spans="2:15"/>
    <row r="17" customFormat="1" hidden="1"/>
    <row r="18" customFormat="1" hidden="1"/>
    <row r="19" customFormat="1" hidden="1"/>
    <row r="20" customFormat="1" hidden="1"/>
    <row r="21" customFormat="1" hidden="1"/>
    <row r="22" customFormat="1" hidden="1"/>
    <row r="23" customFormat="1" hidden="1"/>
    <row r="24" customFormat="1" hidden="1"/>
    <row r="25" customFormat="1" hidden="1"/>
    <row r="26" customFormat="1" hidden="1"/>
    <row r="27" customFormat="1" hidden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</sheetData>
  <mergeCells count="4">
    <mergeCell ref="B2:O2"/>
    <mergeCell ref="D5:H5"/>
    <mergeCell ref="F7:G7"/>
    <mergeCell ref="F9:G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3">
          <controlPr defaultSize="0" autoLine="0" autoPict="0" r:id="rId4">
            <anchor moveWithCells="1">
              <from>
                <xdr:col>16383</xdr:col>
                <xdr:colOff>0</xdr:colOff>
                <xdr:row>1048575</xdr:row>
                <xdr:rowOff>0</xdr:rowOff>
              </from>
              <to>
                <xdr:col>16383</xdr:col>
                <xdr:colOff>0</xdr:colOff>
                <xdr:row>1048575</xdr:row>
                <xdr:rowOff>0</xdr:rowOff>
              </to>
            </anchor>
          </controlPr>
        </control>
      </mc:Choice>
      <mc:Fallback>
        <control shapeId="1027" r:id="rId3" name="CommandButton3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autoPict="0" r:id="rId6">
            <anchor moveWithCells="1">
              <from>
                <xdr:col>16383</xdr:col>
                <xdr:colOff>0</xdr:colOff>
                <xdr:row>15</xdr:row>
                <xdr:rowOff>121920</xdr:rowOff>
              </from>
              <to>
                <xdr:col>16383</xdr:col>
                <xdr:colOff>0</xdr:colOff>
                <xdr:row>1048575</xdr:row>
                <xdr:rowOff>121920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autoPict="0" r:id="rId8">
            <anchor moveWithCells="1">
              <from>
                <xdr:col>16383</xdr:col>
                <xdr:colOff>0</xdr:colOff>
                <xdr:row>1048575</xdr:row>
                <xdr:rowOff>0</xdr:rowOff>
              </from>
              <to>
                <xdr:col>16383</xdr:col>
                <xdr:colOff>0</xdr:colOff>
                <xdr:row>1048575</xdr:row>
                <xdr:rowOff>0</xdr:rowOff>
              </to>
            </anchor>
          </controlPr>
        </control>
      </mc:Choice>
      <mc:Fallback>
        <control shapeId="1025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38B8-83DB-409E-B172-336360FB5F41}">
  <sheetPr codeName="Sheet2"/>
  <dimension ref="A1:P105"/>
  <sheetViews>
    <sheetView showGridLines="0" showRowColHeaders="0" workbookViewId="0">
      <selection activeCell="B5" sqref="B5"/>
    </sheetView>
  </sheetViews>
  <sheetFormatPr defaultColWidth="0" defaultRowHeight="14.4"/>
  <cols>
    <col min="1" max="1" width="3.5546875" customWidth="1"/>
    <col min="2" max="2" width="14" bestFit="1" customWidth="1"/>
    <col min="3" max="3" width="12.33203125" bestFit="1" customWidth="1"/>
    <col min="4" max="4" width="9.6640625" bestFit="1" customWidth="1"/>
    <col min="5" max="9" width="8.88671875" customWidth="1"/>
    <col min="10" max="10" width="14" bestFit="1" customWidth="1"/>
    <col min="11" max="15" width="8.88671875" customWidth="1"/>
    <col min="16" max="16" width="3.5546875" customWidth="1"/>
    <col min="17" max="17" width="8.88671875" hidden="1" customWidth="1"/>
    <col min="18" max="16384" width="8.88671875" hidden="1"/>
  </cols>
  <sheetData>
    <row r="1" spans="1:15" ht="24" customHeight="1" thickBot="1">
      <c r="A1" s="7"/>
      <c r="B1" s="8"/>
      <c r="C1" s="8"/>
    </row>
    <row r="2" spans="1:15" ht="18" thickBot="1">
      <c r="B2" s="45" t="s">
        <v>53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7"/>
    </row>
    <row r="3" spans="1:15" ht="15" thickBot="1"/>
    <row r="4" spans="1:15" ht="15" thickBot="1">
      <c r="B4" s="28" t="s">
        <v>57</v>
      </c>
      <c r="C4" s="19"/>
    </row>
    <row r="5" spans="1:15" ht="15" thickBot="1"/>
    <row r="6" spans="1:15">
      <c r="B6" s="29" t="s">
        <v>33</v>
      </c>
      <c r="C6" s="29" t="s">
        <v>34</v>
      </c>
      <c r="D6" s="30" t="s">
        <v>4</v>
      </c>
      <c r="E6" s="30" t="s">
        <v>5</v>
      </c>
      <c r="F6" s="30" t="s">
        <v>6</v>
      </c>
      <c r="G6" s="30" t="s">
        <v>7</v>
      </c>
      <c r="H6" s="30" t="s">
        <v>8</v>
      </c>
      <c r="I6" s="30" t="s">
        <v>9</v>
      </c>
      <c r="J6" s="30" t="s">
        <v>43</v>
      </c>
      <c r="K6" s="30" t="s">
        <v>44</v>
      </c>
      <c r="L6" s="30" t="s">
        <v>45</v>
      </c>
      <c r="M6" s="30" t="s">
        <v>46</v>
      </c>
      <c r="N6" s="30" t="s">
        <v>47</v>
      </c>
      <c r="O6" s="31" t="s">
        <v>48</v>
      </c>
    </row>
    <row r="7" spans="1:15">
      <c r="B7" s="25" t="s">
        <v>68</v>
      </c>
      <c r="C7" s="25" t="s">
        <v>69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</row>
    <row r="8" spans="1:15">
      <c r="B8" s="25" t="s">
        <v>65</v>
      </c>
      <c r="C8" s="25" t="s">
        <v>66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</row>
    <row r="9" spans="1:15">
      <c r="B9" s="25" t="s">
        <v>80</v>
      </c>
      <c r="C9" s="25" t="s">
        <v>81</v>
      </c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</row>
    <row r="10" spans="1:15"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</row>
    <row r="11" spans="1:15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</row>
    <row r="12" spans="1:15"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</row>
    <row r="13" spans="1:15"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</row>
    <row r="14" spans="1:15"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5" spans="1:15"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15"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2:15"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2:15"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2:15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</row>
    <row r="20" spans="2:15"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</row>
    <row r="21" spans="2:15"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</row>
    <row r="22" spans="2:15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2:15"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2:15"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</row>
    <row r="25" spans="2:15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2:15"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</row>
    <row r="27" spans="2:15"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2:15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</row>
    <row r="29" spans="2:15"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</row>
    <row r="30" spans="2:15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</row>
    <row r="31" spans="2:15"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</row>
    <row r="33" spans="2:15"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</row>
    <row r="34" spans="2:15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</row>
    <row r="35" spans="2:15"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</row>
    <row r="36" spans="2:1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2:1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</row>
    <row r="38" spans="2:15"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</row>
    <row r="39" spans="2:15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</row>
    <row r="40" spans="2:15"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</row>
    <row r="41" spans="2:15"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</row>
    <row r="42" spans="2:15"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</row>
    <row r="43" spans="2:15"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</row>
    <row r="44" spans="2:15"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</row>
    <row r="45" spans="2:15"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</row>
    <row r="46" spans="2:15"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</row>
    <row r="47" spans="2:15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</row>
    <row r="48" spans="2:15"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</row>
    <row r="49" spans="2:15"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</row>
    <row r="50" spans="2:15"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</row>
    <row r="51" spans="2:15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</row>
    <row r="52" spans="2:15"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</row>
    <row r="53" spans="2:15"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</row>
    <row r="54" spans="2:15"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</row>
    <row r="55" spans="2:15"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5"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</row>
    <row r="57" spans="2:15"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</row>
    <row r="58" spans="2:15"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</row>
    <row r="59" spans="2:15"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</row>
    <row r="60" spans="2:15"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2:15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</row>
    <row r="62" spans="2:1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2:1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</row>
    <row r="64" spans="2:15"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5"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5"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</row>
    <row r="70" spans="2:15"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</row>
    <row r="71" spans="2:15"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</row>
    <row r="73" spans="2:15"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</row>
    <row r="74" spans="2:15"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</row>
    <row r="75" spans="2:15"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</row>
    <row r="76" spans="2:15"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2:15"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</row>
    <row r="78" spans="2:15"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</row>
    <row r="81" spans="2:15"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2:15"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2:15"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2:15"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</row>
    <row r="89" spans="2:15"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</row>
    <row r="90" spans="2:15"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</row>
    <row r="91" spans="2:15"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</row>
    <row r="92" spans="2:15"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</row>
    <row r="93" spans="2:15"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</row>
    <row r="94" spans="2:15"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</row>
    <row r="95" spans="2:15"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</row>
    <row r="96" spans="2:15"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</row>
    <row r="97" spans="2:15"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</row>
    <row r="98" spans="2:15"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</row>
    <row r="99" spans="2:15"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</row>
    <row r="100" spans="2:15"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</row>
    <row r="101" spans="2:15"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</row>
    <row r="102" spans="2:15"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</row>
    <row r="103" spans="2:15"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</row>
    <row r="104" spans="2:15"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</row>
    <row r="105" spans="2:15"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</row>
  </sheetData>
  <mergeCells count="1">
    <mergeCell ref="B2:O2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0B40E-D136-4A1F-8881-E83D4A914668}">
          <x14:formula1>
            <xm:f>Memory!$D$4:$D$5</xm:f>
          </x14:formula1>
          <xm:sqref>D7:H87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89D90-06DC-44D9-8B45-58548B27CC18}">
  <sheetPr codeName="Sheet3"/>
  <dimension ref="A1:D10"/>
  <sheetViews>
    <sheetView showGridLines="0" workbookViewId="0">
      <selection activeCell="C4" sqref="C4"/>
    </sheetView>
  </sheetViews>
  <sheetFormatPr defaultColWidth="0" defaultRowHeight="14.4" zeroHeight="1"/>
  <cols>
    <col min="1" max="1" width="3.5546875" style="10" customWidth="1"/>
    <col min="2" max="2" width="25.6640625" style="12" bestFit="1" customWidth="1"/>
    <col min="3" max="3" width="25.6640625" style="12" customWidth="1"/>
    <col min="4" max="4" width="3.5546875" style="11" customWidth="1"/>
    <col min="5" max="16384" width="8.88671875" hidden="1"/>
  </cols>
  <sheetData>
    <row r="1" spans="1:4" ht="24" customHeight="1" thickBot="1">
      <c r="A1" s="17"/>
      <c r="B1" s="8"/>
      <c r="C1" s="8"/>
      <c r="D1" s="9"/>
    </row>
    <row r="2" spans="1:4" ht="18" thickBot="1">
      <c r="B2" s="48" t="s">
        <v>88</v>
      </c>
      <c r="C2" s="49"/>
    </row>
    <row r="3" spans="1:4" ht="6.6" customHeight="1" thickBot="1"/>
    <row r="4" spans="1:4" ht="15" thickBot="1">
      <c r="B4" s="32" t="s">
        <v>33</v>
      </c>
      <c r="C4" s="13"/>
    </row>
    <row r="5" spans="1:4" ht="15" thickBot="1">
      <c r="B5" s="32" t="s">
        <v>34</v>
      </c>
      <c r="C5" s="15"/>
    </row>
    <row r="6" spans="1:4" ht="15" thickBot="1">
      <c r="B6" s="32" t="s">
        <v>35</v>
      </c>
      <c r="C6" s="23"/>
    </row>
    <row r="7" spans="1:4" ht="15" thickBot="1">
      <c r="B7" s="32" t="s">
        <v>36</v>
      </c>
      <c r="C7" s="24"/>
    </row>
    <row r="8" spans="1:4"/>
    <row r="9" spans="1:4"/>
    <row r="10" spans="1:4"/>
  </sheetData>
  <mergeCells count="1">
    <mergeCell ref="B2:C2"/>
  </mergeCells>
  <dataValidations count="1">
    <dataValidation allowBlank="1" showErrorMessage="1" prompt="Required" sqref="B4:B9" xr:uid="{9D5022EB-B2E2-4CC9-8D15-B7AB8EAA5BF7}"/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D0569-BCB4-4DAA-BE9D-1FC2236E4CD5}">
  <sheetPr codeName="Sheet4"/>
  <dimension ref="A1:D10"/>
  <sheetViews>
    <sheetView showGridLines="0" showRowColHeaders="0" workbookViewId="0">
      <selection activeCell="C4" sqref="C4"/>
    </sheetView>
  </sheetViews>
  <sheetFormatPr defaultColWidth="0" defaultRowHeight="14.4" zeroHeight="1"/>
  <cols>
    <col min="1" max="1" width="3.5546875" customWidth="1"/>
    <col min="2" max="3" width="25.6640625" customWidth="1"/>
    <col min="4" max="4" width="3.5546875" customWidth="1"/>
    <col min="5" max="16384" width="8.88671875" hidden="1"/>
  </cols>
  <sheetData>
    <row r="1" spans="1:4" ht="24" customHeight="1" thickBot="1">
      <c r="A1" s="17"/>
      <c r="B1" s="8"/>
      <c r="C1" s="8"/>
      <c r="D1" s="9"/>
    </row>
    <row r="2" spans="1:4" ht="18" thickBot="1">
      <c r="B2" s="48" t="s">
        <v>47</v>
      </c>
      <c r="C2" s="49"/>
    </row>
    <row r="3" spans="1:4" ht="6.6" customHeight="1" thickBot="1"/>
    <row r="4" spans="1:4" ht="15" thickBot="1">
      <c r="B4" s="32" t="s">
        <v>11</v>
      </c>
      <c r="C4" s="13"/>
    </row>
    <row r="5" spans="1:4" ht="15" thickBot="1">
      <c r="B5" s="32" t="s">
        <v>12</v>
      </c>
      <c r="C5" s="15"/>
    </row>
    <row r="6" spans="1:4" ht="15" thickBot="1">
      <c r="B6" s="32" t="s">
        <v>13</v>
      </c>
      <c r="C6" s="23"/>
    </row>
    <row r="7" spans="1:4" ht="15" thickBot="1">
      <c r="B7" s="32" t="s">
        <v>14</v>
      </c>
      <c r="C7" s="16"/>
    </row>
    <row r="8" spans="1:4"/>
    <row r="9" spans="1:4"/>
    <row r="10" spans="1:4"/>
  </sheetData>
  <mergeCells count="1">
    <mergeCell ref="B2:C2"/>
  </mergeCells>
  <dataValidations count="3">
    <dataValidation type="list" allowBlank="1" showErrorMessage="1" prompt="Required" sqref="C4" xr:uid="{95925306-CE89-44BB-A815-C640F9A6DB97}">
      <formula1>mactive</formula1>
    </dataValidation>
    <dataValidation allowBlank="1" showErrorMessage="1" prompt="Required" sqref="B3:B10" xr:uid="{ED1E90E2-F8BC-4E03-AB6E-1B819FD7DD0C}"/>
    <dataValidation type="list" allowBlank="1" showInputMessage="1" showErrorMessage="1" prompt="Required" sqref="C5" xr:uid="{7330D30D-FD25-4E86-A55E-5AFC8B1D2360}">
      <formula1>mactive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ED4E-F99F-4564-B05A-325A3CD6546D}">
  <sheetPr codeName="Sheet5"/>
  <dimension ref="A1:D28"/>
  <sheetViews>
    <sheetView showGridLines="0" showRowColHeaders="0" workbookViewId="0">
      <selection activeCell="C4" sqref="C4"/>
    </sheetView>
  </sheetViews>
  <sheetFormatPr defaultColWidth="0" defaultRowHeight="14.4" zeroHeight="1"/>
  <cols>
    <col min="1" max="1" width="3.5546875" customWidth="1"/>
    <col min="2" max="3" width="25.6640625" customWidth="1"/>
    <col min="4" max="4" width="3.5546875" customWidth="1"/>
    <col min="5" max="16384" width="8.88671875" hidden="1"/>
  </cols>
  <sheetData>
    <row r="1" spans="1:4" ht="24" customHeight="1" thickBot="1">
      <c r="A1" s="17"/>
      <c r="B1" s="8"/>
      <c r="C1" s="8"/>
      <c r="D1" s="9"/>
    </row>
    <row r="2" spans="1:4" ht="18" thickBot="1">
      <c r="B2" s="48" t="s">
        <v>51</v>
      </c>
      <c r="C2" s="49"/>
    </row>
    <row r="3" spans="1:4" ht="6.6" customHeight="1" thickBot="1"/>
    <row r="4" spans="1:4" ht="15" thickBot="1">
      <c r="B4" s="32" t="s">
        <v>16</v>
      </c>
      <c r="C4" s="15"/>
    </row>
    <row r="5" spans="1:4" ht="15" thickBot="1">
      <c r="B5" s="32" t="s">
        <v>17</v>
      </c>
      <c r="C5" s="15"/>
    </row>
    <row r="6" spans="1:4" ht="15" thickBot="1">
      <c r="B6" s="32" t="s">
        <v>18</v>
      </c>
      <c r="C6" s="23"/>
    </row>
    <row r="7" spans="1:4" ht="15" thickBot="1">
      <c r="B7" s="32" t="s">
        <v>19</v>
      </c>
      <c r="C7" s="15"/>
    </row>
    <row r="8" spans="1:4" ht="15" thickBot="1">
      <c r="B8" s="32" t="s">
        <v>40</v>
      </c>
      <c r="C8" s="15"/>
    </row>
    <row r="9" spans="1:4" ht="15" thickBot="1">
      <c r="B9" s="32" t="s">
        <v>21</v>
      </c>
      <c r="C9" s="15"/>
    </row>
    <row r="10" spans="1:4" ht="15" thickBot="1">
      <c r="B10" s="32" t="s">
        <v>50</v>
      </c>
      <c r="C10" s="15"/>
    </row>
    <row r="11" spans="1:4" ht="15" thickBot="1">
      <c r="B11" s="32" t="s">
        <v>22</v>
      </c>
      <c r="C11" s="15"/>
    </row>
    <row r="12" spans="1:4" ht="15" thickBot="1">
      <c r="B12" s="32" t="s">
        <v>23</v>
      </c>
      <c r="C12" s="36"/>
    </row>
    <row r="13" spans="1:4" ht="15" thickBot="1">
      <c r="B13" s="32" t="s">
        <v>24</v>
      </c>
      <c r="C13" s="15"/>
    </row>
    <row r="14" spans="1:4"/>
    <row r="15" spans="1:4"/>
    <row r="16" spans="1:4"/>
    <row r="17" customFormat="1" hidden="1"/>
    <row r="18" customFormat="1" hidden="1"/>
    <row r="19" customFormat="1" hidden="1"/>
    <row r="20" customFormat="1" hidden="1"/>
    <row r="21" customFormat="1" hidden="1"/>
    <row r="22" customFormat="1" hidden="1"/>
    <row r="23" customFormat="1" hidden="1"/>
    <row r="24" customFormat="1" hidden="1"/>
    <row r="25" customFormat="1" hidden="1"/>
    <row r="26" customFormat="1" hidden="1"/>
    <row r="27" customFormat="1" hidden="1"/>
    <row r="28" customFormat="1" hidden="1"/>
  </sheetData>
  <mergeCells count="1">
    <mergeCell ref="B2:C2"/>
  </mergeCells>
  <dataValidations count="3">
    <dataValidation type="list" allowBlank="1" showInputMessage="1" showErrorMessage="1" prompt="Required" sqref="C5" xr:uid="{019C617B-ADC7-4097-85F9-DD15E80A6F6E}">
      <formula1>mactive</formula1>
    </dataValidation>
    <dataValidation allowBlank="1" showErrorMessage="1" prompt="Required" sqref="C11 B4:B13 C6 C8" xr:uid="{CC995501-B442-412E-B077-4E2C1F94A5C9}"/>
    <dataValidation type="list" allowBlank="1" showErrorMessage="1" prompt="Required" sqref="C4" xr:uid="{684500A6-37D0-4E79-9D3F-78476DDD5FDF}">
      <formula1>mactive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prompt="Required" xr:uid="{CE10714D-89C9-45C2-9EBD-E7EAD23AD2BA}">
          <x14:formula1>
            <xm:f>Memory!$B$4:$B$5</xm:f>
          </x14:formula1>
          <xm:sqref>C7</xm:sqref>
        </x14:dataValidation>
        <x14:dataValidation type="list" allowBlank="1" showInputMessage="1" showErrorMessage="1" xr:uid="{240241A8-0B52-46F9-A05B-B606C28DDEAB}">
          <x14:formula1>
            <xm:f>Memory!$C$4:$C$5</xm:f>
          </x14:formula1>
          <xm:sqref>C9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D6B8-2BBA-471B-A4B0-BCD9FE110CC5}">
  <sheetPr codeName="Sheet6"/>
  <dimension ref="A1:D23"/>
  <sheetViews>
    <sheetView showGridLines="0" showRowColHeaders="0" workbookViewId="0">
      <selection activeCell="C4" sqref="C4"/>
    </sheetView>
  </sheetViews>
  <sheetFormatPr defaultColWidth="0" defaultRowHeight="14.4" zeroHeight="1"/>
  <cols>
    <col min="1" max="1" width="3.5546875" customWidth="1"/>
    <col min="2" max="3" width="25.6640625" customWidth="1"/>
    <col min="4" max="4" width="3.5546875" customWidth="1"/>
    <col min="5" max="16384" width="8.88671875" hidden="1"/>
  </cols>
  <sheetData>
    <row r="1" spans="1:4" ht="24" customHeight="1" thickBot="1">
      <c r="A1" s="17"/>
      <c r="B1" s="8"/>
      <c r="C1" s="8"/>
      <c r="D1" s="9"/>
    </row>
    <row r="2" spans="1:4" ht="18" thickBot="1">
      <c r="B2" s="48" t="s">
        <v>52</v>
      </c>
      <c r="C2" s="49"/>
    </row>
    <row r="3" spans="1:4" ht="6.6" customHeight="1" thickBot="1"/>
    <row r="4" spans="1:4" ht="15" thickBot="1">
      <c r="B4" s="32" t="s">
        <v>26</v>
      </c>
      <c r="C4" s="15"/>
    </row>
    <row r="5" spans="1:4" ht="15" thickBot="1">
      <c r="B5" s="32" t="s">
        <v>79</v>
      </c>
      <c r="C5" s="15"/>
    </row>
    <row r="6" spans="1:4" ht="15" thickBot="1">
      <c r="B6" s="32" t="s">
        <v>28</v>
      </c>
      <c r="C6" s="23"/>
    </row>
    <row r="7" spans="1:4" ht="15" thickBot="1">
      <c r="B7" s="32" t="s">
        <v>29</v>
      </c>
      <c r="C7" s="15"/>
    </row>
    <row r="8" spans="1:4" ht="15" thickBot="1">
      <c r="B8" s="32" t="s">
        <v>30</v>
      </c>
      <c r="C8" s="15"/>
    </row>
    <row r="9" spans="1:4"/>
    <row r="10" spans="1:4"/>
    <row r="11" spans="1:4" ht="6" customHeight="1"/>
    <row r="17" customFormat="1" hidden="1"/>
    <row r="18" customFormat="1" hidden="1"/>
    <row r="19" customFormat="1" hidden="1"/>
    <row r="20" customFormat="1" hidden="1"/>
    <row r="21" customFormat="1" hidden="1"/>
    <row r="22" customFormat="1" hidden="1"/>
    <row r="23" customFormat="1" hidden="1"/>
  </sheetData>
  <mergeCells count="1">
    <mergeCell ref="B2:C2"/>
  </mergeCells>
  <dataValidations count="2">
    <dataValidation type="list" allowBlank="1" showInputMessage="1" showErrorMessage="1" sqref="C4:C5" xr:uid="{FC253891-AF38-40E7-897B-DEA73099EF63}">
      <formula1>mactive</formula1>
    </dataValidation>
    <dataValidation allowBlank="1" showErrorMessage="1" prompt="Required" sqref="B4:B8" xr:uid="{F1E94201-4938-4C78-809E-023BD65558FB}"/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C938-E92D-4249-AF5F-8B388452F70E}">
  <sheetPr codeName="Sheet8"/>
  <dimension ref="A1:O4"/>
  <sheetViews>
    <sheetView workbookViewId="0">
      <selection activeCell="E9" sqref="E9"/>
    </sheetView>
  </sheetViews>
  <sheetFormatPr defaultRowHeight="14.4"/>
  <cols>
    <col min="1" max="1" width="10.6640625" bestFit="1" customWidth="1"/>
    <col min="2" max="2" width="12.6640625" bestFit="1" customWidth="1"/>
    <col min="3" max="3" width="16.33203125" bestFit="1" customWidth="1"/>
    <col min="4" max="4" width="4.33203125" bestFit="1" customWidth="1"/>
    <col min="5" max="5" width="4.44140625" bestFit="1" customWidth="1"/>
    <col min="6" max="6" width="4.109375" bestFit="1" customWidth="1"/>
    <col min="7" max="7" width="5" bestFit="1" customWidth="1"/>
    <col min="8" max="8" width="4.33203125" bestFit="1" customWidth="1"/>
    <col min="9" max="9" width="4.44140625" bestFit="1" customWidth="1"/>
    <col min="10" max="10" width="6.109375" bestFit="1" customWidth="1"/>
    <col min="11" max="11" width="6.88671875" bestFit="1" customWidth="1"/>
    <col min="12" max="12" width="6" bestFit="1" customWidth="1"/>
    <col min="13" max="13" width="6.6640625" bestFit="1" customWidth="1"/>
    <col min="14" max="14" width="8.33203125" bestFit="1" customWidth="1"/>
    <col min="15" max="15" width="7.5546875" bestFit="1" customWidth="1"/>
  </cols>
  <sheetData>
    <row r="1" spans="1:15">
      <c r="A1" t="s">
        <v>0</v>
      </c>
      <c r="B1" s="4" t="s">
        <v>31</v>
      </c>
      <c r="C1" s="5" t="s">
        <v>32</v>
      </c>
      <c r="D1" s="5" t="s">
        <v>4</v>
      </c>
      <c r="E1" s="5" t="s">
        <v>5</v>
      </c>
      <c r="F1" s="5" t="s">
        <v>6</v>
      </c>
      <c r="G1" s="5" t="s">
        <v>7</v>
      </c>
      <c r="H1" s="5" t="s">
        <v>8</v>
      </c>
      <c r="I1" s="5" t="s">
        <v>9</v>
      </c>
      <c r="J1" s="2" t="s">
        <v>43</v>
      </c>
      <c r="K1" s="2" t="s">
        <v>44</v>
      </c>
      <c r="L1" s="2" t="s">
        <v>45</v>
      </c>
      <c r="M1" s="2" t="s">
        <v>46</v>
      </c>
      <c r="N1" s="2" t="s">
        <v>47</v>
      </c>
      <c r="O1" s="2" t="s">
        <v>48</v>
      </c>
    </row>
    <row r="2" spans="1:15">
      <c r="A2">
        <v>62</v>
      </c>
      <c r="B2" s="18">
        <v>44442</v>
      </c>
      <c r="C2" s="3">
        <v>1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>
      <c r="A3">
        <v>63</v>
      </c>
      <c r="B3" s="18">
        <v>44442</v>
      </c>
      <c r="C3" s="3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>
      <c r="A4">
        <v>64</v>
      </c>
      <c r="B4" s="18">
        <v>44442</v>
      </c>
      <c r="C4" s="3">
        <v>3</v>
      </c>
      <c r="D4" s="3">
        <v>0</v>
      </c>
      <c r="E4" s="3">
        <v>1</v>
      </c>
      <c r="F4" s="3">
        <v>0</v>
      </c>
      <c r="G4" s="3">
        <v>0</v>
      </c>
      <c r="H4" s="3">
        <v>0</v>
      </c>
      <c r="I4" s="3"/>
      <c r="J4" s="3"/>
      <c r="K4" s="3"/>
      <c r="L4" s="3"/>
      <c r="M4" s="3"/>
      <c r="N4" s="3"/>
      <c r="O4" s="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BA1E6-A1C2-4BFB-8692-803B62E67085}">
  <sheetPr codeName="Sheet7"/>
  <dimension ref="A1:N5"/>
  <sheetViews>
    <sheetView workbookViewId="0">
      <selection activeCell="B2" sqref="B2"/>
    </sheetView>
  </sheetViews>
  <sheetFormatPr defaultRowHeight="14.4"/>
  <cols>
    <col min="1" max="1" width="12.5546875" customWidth="1"/>
    <col min="2" max="2" width="19.6640625" customWidth="1"/>
    <col min="3" max="4" width="19.5546875" customWidth="1"/>
    <col min="5" max="5" width="19" customWidth="1"/>
    <col min="6" max="6" width="18.33203125" customWidth="1"/>
    <col min="10" max="10" width="12" customWidth="1"/>
  </cols>
  <sheetData>
    <row r="1" spans="1:14">
      <c r="A1" t="s">
        <v>0</v>
      </c>
      <c r="B1" t="s">
        <v>1</v>
      </c>
      <c r="C1" t="s">
        <v>2</v>
      </c>
      <c r="D1" t="s">
        <v>37</v>
      </c>
      <c r="E1" t="s">
        <v>3</v>
      </c>
      <c r="F1" t="s">
        <v>49</v>
      </c>
      <c r="J1" s="4" t="s">
        <v>64</v>
      </c>
      <c r="K1" s="4" t="s">
        <v>1</v>
      </c>
      <c r="L1" s="35" t="s">
        <v>2</v>
      </c>
      <c r="N1" s="37" t="s">
        <v>89</v>
      </c>
    </row>
    <row r="2" spans="1:14">
      <c r="A2">
        <v>1</v>
      </c>
      <c r="B2" t="s">
        <v>65</v>
      </c>
      <c r="C2" t="s">
        <v>66</v>
      </c>
      <c r="D2" t="s">
        <v>67</v>
      </c>
      <c r="E2" s="6">
        <v>44440</v>
      </c>
      <c r="F2" s="6"/>
      <c r="J2" s="33" t="str" cm="1">
        <f t="array" aca="1" ref="J2:J4" ca="1">_xlfn._xlws.SORT(IFERROR(_xlfn._xlws.FILTER(tbl_member[Member-Full Name],(tbl_member[Member-End date]&gt;=TODAY())+(tbl_member[Member-End date]="")),""),1)</f>
        <v>Crooks, David</v>
      </c>
      <c r="K2" s="3" t="str" cm="1">
        <f t="array" aca="1" ref="K2:K4" ca="1">_xlfn._xlws.SORT(IFERROR(_xlfn._xlws.FILTER(tbl_member[Member-First Name],(tbl_member[Member-End date]&gt;=TODAY())+(tbl_member[Member-End date]="")),""),1)</f>
        <v>David</v>
      </c>
      <c r="L2" s="34" t="str" cm="1">
        <f t="array" aca="1" ref="L2:L4" ca="1">_xlfn._xlws.SORT(IFERROR(_xlfn._xlws.FILTER(tbl_member[Member-Last Name],(tbl_member[Member-End date]&gt;=TODAY())+(tbl_member[Member-End date]="")),""),1)</f>
        <v>Crooks</v>
      </c>
      <c r="N2" t="str" cm="1">
        <f t="array" ref="N2:N4">_xlfn._xlws.SORT(tbl_member[Member-Full Name],1)</f>
        <v>Crooks, David</v>
      </c>
    </row>
    <row r="3" spans="1:14">
      <c r="A3">
        <v>2</v>
      </c>
      <c r="B3" t="s">
        <v>68</v>
      </c>
      <c r="C3" t="s">
        <v>69</v>
      </c>
      <c r="D3" t="s">
        <v>70</v>
      </c>
      <c r="E3" s="6">
        <v>44440</v>
      </c>
      <c r="F3" s="6"/>
      <c r="J3" t="str">
        <f ca="1"/>
        <v>Palmieri, Steven</v>
      </c>
      <c r="K3" t="str">
        <f ca="1"/>
        <v>Steven</v>
      </c>
      <c r="L3" t="str">
        <f ca="1"/>
        <v>Palmieri</v>
      </c>
      <c r="N3" t="str">
        <v>Palmieri, Steven</v>
      </c>
    </row>
    <row r="4" spans="1:14">
      <c r="A4">
        <v>3</v>
      </c>
      <c r="B4" t="s">
        <v>80</v>
      </c>
      <c r="C4" t="s">
        <v>81</v>
      </c>
      <c r="D4" t="s">
        <v>82</v>
      </c>
      <c r="E4" s="6">
        <v>44440</v>
      </c>
      <c r="F4" s="6"/>
      <c r="J4" t="str">
        <f ca="1"/>
        <v xml:space="preserve">Rumsey, Tracy </v>
      </c>
      <c r="K4" t="str">
        <f ca="1"/>
        <v xml:space="preserve">Tracy </v>
      </c>
      <c r="L4" t="str">
        <f ca="1"/>
        <v>Rumsey</v>
      </c>
      <c r="N4" t="str">
        <v xml:space="preserve">Rumsey, Tracy </v>
      </c>
    </row>
    <row r="5" spans="1:14">
      <c r="E5" s="6"/>
      <c r="F5" s="6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E2BA5-F7C2-448E-A151-950D4AE71CB8}">
  <sheetPr codeName="Sheet9"/>
  <dimension ref="A1:E4"/>
  <sheetViews>
    <sheetView workbookViewId="0">
      <selection activeCell="E9" sqref="E9"/>
    </sheetView>
  </sheetViews>
  <sheetFormatPr defaultRowHeight="14.4"/>
  <cols>
    <col min="1" max="1" width="10.44140625" customWidth="1"/>
    <col min="2" max="2" width="13.5546875" bestFit="1" customWidth="1"/>
    <col min="3" max="3" width="11" customWidth="1"/>
    <col min="4" max="4" width="12.5546875" customWidth="1"/>
    <col min="5" max="5" width="15.5546875" customWidth="1"/>
  </cols>
  <sheetData>
    <row r="1" spans="1:5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>
      <c r="A2">
        <v>1</v>
      </c>
      <c r="B2">
        <v>1</v>
      </c>
      <c r="C2">
        <v>2</v>
      </c>
      <c r="D2" s="6">
        <v>44440</v>
      </c>
      <c r="E2">
        <v>1</v>
      </c>
    </row>
    <row r="3" spans="1:5">
      <c r="A3">
        <v>2</v>
      </c>
      <c r="B3">
        <v>1</v>
      </c>
      <c r="C3">
        <v>2</v>
      </c>
      <c r="D3" s="6">
        <v>44441</v>
      </c>
      <c r="E3">
        <v>2</v>
      </c>
    </row>
    <row r="4" spans="1:5">
      <c r="A4">
        <v>3</v>
      </c>
      <c r="B4">
        <v>3</v>
      </c>
      <c r="C4">
        <v>2</v>
      </c>
      <c r="D4" s="6">
        <v>44449</v>
      </c>
      <c r="E4">
        <v>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F8BB-B231-401C-8C11-66306D73B407}">
  <sheetPr codeName="Sheet10"/>
  <dimension ref="A1:K4"/>
  <sheetViews>
    <sheetView workbookViewId="0">
      <selection activeCell="E9" sqref="E9"/>
    </sheetView>
  </sheetViews>
  <sheetFormatPr defaultRowHeight="14.4"/>
  <cols>
    <col min="1" max="1" width="6.44140625" customWidth="1"/>
    <col min="2" max="2" width="9" customWidth="1"/>
    <col min="3" max="3" width="6.6640625" customWidth="1"/>
    <col min="4" max="4" width="8.5546875" customWidth="1"/>
    <col min="5" max="5" width="8.6640625" customWidth="1"/>
    <col min="6" max="6" width="9.6640625" customWidth="1"/>
    <col min="7" max="7" width="9.88671875" customWidth="1"/>
    <col min="8" max="8" width="10.6640625" customWidth="1"/>
    <col min="9" max="9" width="13.5546875" customWidth="1"/>
    <col min="10" max="10" width="9.33203125" customWidth="1"/>
    <col min="11" max="11" width="13.6640625" customWidth="1"/>
  </cols>
  <sheetData>
    <row r="1" spans="1:11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50</v>
      </c>
      <c r="I1" t="s">
        <v>22</v>
      </c>
      <c r="J1" t="s">
        <v>23</v>
      </c>
      <c r="K1" t="s">
        <v>24</v>
      </c>
    </row>
    <row r="2" spans="1:11">
      <c r="A2">
        <v>1</v>
      </c>
      <c r="B2">
        <v>1</v>
      </c>
      <c r="C2">
        <v>2</v>
      </c>
      <c r="D2" s="6">
        <v>44440</v>
      </c>
      <c r="E2" t="s">
        <v>38</v>
      </c>
      <c r="F2" t="s">
        <v>71</v>
      </c>
      <c r="G2" t="s">
        <v>42</v>
      </c>
      <c r="H2" t="s">
        <v>72</v>
      </c>
      <c r="I2" t="s">
        <v>73</v>
      </c>
      <c r="J2" t="s">
        <v>74</v>
      </c>
      <c r="K2" t="s">
        <v>75</v>
      </c>
    </row>
    <row r="3" spans="1:11">
      <c r="A3">
        <v>2</v>
      </c>
      <c r="B3">
        <v>1</v>
      </c>
      <c r="C3">
        <v>2</v>
      </c>
      <c r="D3" s="6">
        <v>44440</v>
      </c>
      <c r="E3" t="s">
        <v>39</v>
      </c>
      <c r="F3" t="s">
        <v>76</v>
      </c>
      <c r="G3" t="s">
        <v>42</v>
      </c>
      <c r="H3" t="s">
        <v>76</v>
      </c>
      <c r="I3" t="s">
        <v>77</v>
      </c>
      <c r="J3" t="s">
        <v>76</v>
      </c>
      <c r="K3" t="s">
        <v>76</v>
      </c>
    </row>
    <row r="4" spans="1:11">
      <c r="A4">
        <v>3</v>
      </c>
      <c r="B4">
        <v>1</v>
      </c>
      <c r="C4">
        <v>2</v>
      </c>
      <c r="D4" s="6">
        <v>44449</v>
      </c>
      <c r="E4" t="s">
        <v>38</v>
      </c>
      <c r="F4" t="s">
        <v>71</v>
      </c>
      <c r="G4" t="s">
        <v>42</v>
      </c>
      <c r="H4" t="s">
        <v>83</v>
      </c>
      <c r="I4" t="s">
        <v>73</v>
      </c>
      <c r="J4" t="s">
        <v>84</v>
      </c>
      <c r="K4" t="s">
        <v>85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8CFBB-0A7A-42BE-8160-5E7F5E1DAF51}">
  <sheetPr codeName="Sheet11"/>
  <dimension ref="A1:F4"/>
  <sheetViews>
    <sheetView workbookViewId="0">
      <selection activeCell="E9" sqref="E9"/>
    </sheetView>
  </sheetViews>
  <sheetFormatPr defaultRowHeight="14.4"/>
  <cols>
    <col min="1" max="1" width="9.109375" customWidth="1"/>
    <col min="2" max="2" width="15.44140625" customWidth="1"/>
    <col min="3" max="3" width="16.33203125" customWidth="1"/>
    <col min="4" max="4" width="11.33203125" customWidth="1"/>
    <col min="5" max="5" width="14.5546875" customWidth="1"/>
    <col min="6" max="6" width="11.88671875" customWidth="1"/>
  </cols>
  <sheetData>
    <row r="1" spans="1:6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</row>
    <row r="2" spans="1:6">
      <c r="A2">
        <v>1</v>
      </c>
      <c r="B2">
        <v>1</v>
      </c>
      <c r="C2">
        <v>2</v>
      </c>
      <c r="D2" s="6">
        <v>44409</v>
      </c>
      <c r="E2" t="s">
        <v>78</v>
      </c>
      <c r="F2" t="s">
        <v>78</v>
      </c>
    </row>
    <row r="3" spans="1:6">
      <c r="A3">
        <v>2</v>
      </c>
      <c r="B3">
        <v>1</v>
      </c>
      <c r="C3">
        <v>2</v>
      </c>
      <c r="D3" s="6">
        <v>44440</v>
      </c>
      <c r="E3" t="s">
        <v>56</v>
      </c>
      <c r="F3" t="s">
        <v>56</v>
      </c>
    </row>
    <row r="4" spans="1:6">
      <c r="A4">
        <v>3</v>
      </c>
      <c r="B4">
        <v>3</v>
      </c>
      <c r="C4">
        <v>2</v>
      </c>
      <c r="D4" s="6">
        <v>44449</v>
      </c>
      <c r="E4" t="s">
        <v>86</v>
      </c>
      <c r="F4" t="s">
        <v>87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96B27-FE46-4C0D-80F7-69081B39BC70}">
  <sheetPr codeName="Sheet12"/>
  <dimension ref="B3:D5"/>
  <sheetViews>
    <sheetView workbookViewId="0">
      <selection activeCell="E9" sqref="E9"/>
    </sheetView>
  </sheetViews>
  <sheetFormatPr defaultRowHeight="14.4"/>
  <cols>
    <col min="4" max="4" width="14" bestFit="1" customWidth="1"/>
  </cols>
  <sheetData>
    <row r="3" spans="2:4">
      <c r="B3" s="1" t="s">
        <v>19</v>
      </c>
      <c r="C3" s="1" t="s">
        <v>21</v>
      </c>
      <c r="D3" s="1" t="s">
        <v>61</v>
      </c>
    </row>
    <row r="4" spans="2:4">
      <c r="B4" t="s">
        <v>38</v>
      </c>
      <c r="C4" t="s">
        <v>41</v>
      </c>
      <c r="D4" t="s">
        <v>62</v>
      </c>
    </row>
    <row r="5" spans="2:4">
      <c r="B5" t="s">
        <v>39</v>
      </c>
      <c r="C5" t="s">
        <v>42</v>
      </c>
      <c r="D5" t="s">
        <v>63</v>
      </c>
    </row>
  </sheetData>
  <dataValidations count="1">
    <dataValidation allowBlank="1" showErrorMessage="1" prompt="Required" sqref="C3" xr:uid="{62435264-98FD-4969-9D0C-60DEDAF07CFA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6112F6D8-A0FF-4B0D-9964-B26EBC8B556B}">
  <ds:schemaRefs/>
</ds:datastoreItem>
</file>

<file path=customXml/itemProps2.xml><?xml version="1.0" encoding="utf-8"?>
<ds:datastoreItem xmlns:ds="http://schemas.openxmlformats.org/officeDocument/2006/customXml" ds:itemID="{EE28AD23-E075-468D-92C9-7A6055631BC2}">
  <ds:schemaRefs/>
</ds:datastoreItem>
</file>

<file path=customXml/itemProps3.xml><?xml version="1.0" encoding="utf-8"?>
<ds:datastoreItem xmlns:ds="http://schemas.openxmlformats.org/officeDocument/2006/customXml" ds:itemID="{1E43FAD3-4FDA-4B85-829F-E04A05759454}">
  <ds:schemaRefs/>
</ds:datastoreItem>
</file>

<file path=customXml/itemProps4.xml><?xml version="1.0" encoding="utf-8"?>
<ds:datastoreItem xmlns:ds="http://schemas.openxmlformats.org/officeDocument/2006/customXml" ds:itemID="{BAC57AE7-41D9-4D82-B142-D174861EEE9C}">
  <ds:schemaRefs/>
</ds:datastoreItem>
</file>

<file path=customXml/itemProps5.xml><?xml version="1.0" encoding="utf-8"?>
<ds:datastoreItem xmlns:ds="http://schemas.openxmlformats.org/officeDocument/2006/customXml" ds:itemID="{2768353D-7C10-4EC3-B9DA-F9649C4BB6A8}">
  <ds:schemaRefs/>
</ds:datastoreItem>
</file>

<file path=customXml/itemProps6.xml><?xml version="1.0" encoding="utf-8"?>
<ds:datastoreItem xmlns:ds="http://schemas.openxmlformats.org/officeDocument/2006/customXml" ds:itemID="{1BB88FB7-8BC6-470A-A8C7-2AC417F60CC7}">
  <ds:schemaRefs/>
</ds:datastoreItem>
</file>

<file path=customXml/itemProps7.xml><?xml version="1.0" encoding="utf-8"?>
<ds:datastoreItem xmlns:ds="http://schemas.openxmlformats.org/officeDocument/2006/customXml" ds:itemID="{A3AB37DA-9D0D-46AF-9DBA-5E728C9B75EE}">
  <ds:schemaRefs/>
</ds:datastoreItem>
</file>

<file path=customXml/itemProps8.xml><?xml version="1.0" encoding="utf-8"?>
<ds:datastoreItem xmlns:ds="http://schemas.openxmlformats.org/officeDocument/2006/customXml" ds:itemID="{14C328F2-0539-47D2-9E64-A03D3209C6C9}">
  <ds:schemaRefs/>
</ds:datastoreItem>
</file>

<file path=customXml/itemProps9.xml><?xml version="1.0" encoding="utf-8"?>
<ds:datastoreItem xmlns:ds="http://schemas.openxmlformats.org/officeDocument/2006/customXml" ds:itemID="{78B11E3F-8227-4C57-9B8D-66F39CD551D7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ACCA3951-36A2-48EB-99ED-D029FBFC174C}">
  <ds:schemaRefs/>
</ds:datastoreItem>
</file>

<file path=customXml/itemProps11.xml><?xml version="1.0" encoding="utf-8"?>
<ds:datastoreItem xmlns:ds="http://schemas.openxmlformats.org/officeDocument/2006/customXml" ds:itemID="{E6660761-E0C0-4633-AF85-054AF9CAA209}">
  <ds:schemaRefs/>
</ds:datastoreItem>
</file>

<file path=customXml/itemProps12.xml><?xml version="1.0" encoding="utf-8"?>
<ds:datastoreItem xmlns:ds="http://schemas.openxmlformats.org/officeDocument/2006/customXml" ds:itemID="{4CF2A4DD-8081-4B50-B558-0FA2EF78E9CF}">
  <ds:schemaRefs/>
</ds:datastoreItem>
</file>

<file path=customXml/itemProps13.xml><?xml version="1.0" encoding="utf-8"?>
<ds:datastoreItem xmlns:ds="http://schemas.openxmlformats.org/officeDocument/2006/customXml" ds:itemID="{B50715B3-E2C3-47E8-B3BB-06878D353B84}">
  <ds:schemaRefs/>
</ds:datastoreItem>
</file>

<file path=customXml/itemProps14.xml><?xml version="1.0" encoding="utf-8"?>
<ds:datastoreItem xmlns:ds="http://schemas.openxmlformats.org/officeDocument/2006/customXml" ds:itemID="{B899D192-8263-477A-B778-FD33452490FE}">
  <ds:schemaRefs/>
</ds:datastoreItem>
</file>

<file path=customXml/itemProps15.xml><?xml version="1.0" encoding="utf-8"?>
<ds:datastoreItem xmlns:ds="http://schemas.openxmlformats.org/officeDocument/2006/customXml" ds:itemID="{4209A785-1CC1-4931-9640-755F4DF0F9D1}">
  <ds:schemaRefs/>
</ds:datastoreItem>
</file>

<file path=customXml/itemProps16.xml><?xml version="1.0" encoding="utf-8"?>
<ds:datastoreItem xmlns:ds="http://schemas.openxmlformats.org/officeDocument/2006/customXml" ds:itemID="{E5D56526-268E-4C13-AA63-1B14F9FA46F7}">
  <ds:schemaRefs/>
</ds:datastoreItem>
</file>

<file path=customXml/itemProps17.xml><?xml version="1.0" encoding="utf-8"?>
<ds:datastoreItem xmlns:ds="http://schemas.openxmlformats.org/officeDocument/2006/customXml" ds:itemID="{5CF6E872-8EE0-45C9-8723-25208E13B8A0}">
  <ds:schemaRefs/>
</ds:datastoreItem>
</file>

<file path=customXml/itemProps18.xml><?xml version="1.0" encoding="utf-8"?>
<ds:datastoreItem xmlns:ds="http://schemas.openxmlformats.org/officeDocument/2006/customXml" ds:itemID="{DB9A747E-7CF9-4D9B-9E29-25097F88A416}">
  <ds:schemaRefs/>
</ds:datastoreItem>
</file>

<file path=customXml/itemProps19.xml><?xml version="1.0" encoding="utf-8"?>
<ds:datastoreItem xmlns:ds="http://schemas.openxmlformats.org/officeDocument/2006/customXml" ds:itemID="{5B505559-F621-4258-8F3F-8A0D857F8E82}">
  <ds:schemaRefs/>
</ds:datastoreItem>
</file>

<file path=customXml/itemProps20.xml><?xml version="1.0" encoding="utf-8"?>
<ds:datastoreItem xmlns:ds="http://schemas.openxmlformats.org/officeDocument/2006/customXml" ds:itemID="{272A2A4F-8EF7-456A-915B-5B55B857EEA5}">
  <ds:schemaRefs/>
</ds:datastoreItem>
</file>

<file path=customXml/itemProps21.xml><?xml version="1.0" encoding="utf-8"?>
<ds:datastoreItem xmlns:ds="http://schemas.openxmlformats.org/officeDocument/2006/customXml" ds:itemID="{219937FE-B8DB-4D0C-9CC1-92A433439C8A}">
  <ds:schemaRefs/>
</ds:datastoreItem>
</file>

<file path=customXml/itemProps22.xml><?xml version="1.0" encoding="utf-8"?>
<ds:datastoreItem xmlns:ds="http://schemas.openxmlformats.org/officeDocument/2006/customXml" ds:itemID="{B590953E-D235-4501-B064-B797BF2783C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Home</vt:lpstr>
      <vt:lpstr>Inpt_Palms</vt:lpstr>
      <vt:lpstr>Inpt_Member</vt:lpstr>
      <vt:lpstr>Inpt_TYFCB</vt:lpstr>
      <vt:lpstr>Inpt_Referral</vt:lpstr>
      <vt:lpstr>Inpt_1to1</vt:lpstr>
      <vt:lpstr>Tbl_Palms</vt:lpstr>
      <vt:lpstr>Tbl_Member</vt:lpstr>
      <vt:lpstr>Tbl_TYFCB</vt:lpstr>
      <vt:lpstr>Tbl_Referral</vt:lpstr>
      <vt:lpstr>Tbl_1to1</vt:lpstr>
      <vt:lpstr>Memory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gizzi</dc:creator>
  <cp:lastModifiedBy>Alejandro gizzi</cp:lastModifiedBy>
  <dcterms:created xsi:type="dcterms:W3CDTF">2021-09-26T13:05:27Z</dcterms:created>
  <dcterms:modified xsi:type="dcterms:W3CDTF">2021-11-17T11:16:32Z</dcterms:modified>
</cp:coreProperties>
</file>